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cruz/Desktop/"/>
    </mc:Choice>
  </mc:AlternateContent>
  <xr:revisionPtr revIDLastSave="0" documentId="13_ncr:1_{9F5DBBFC-A2E8-9E4E-9CAD-F1A31070FFC5}" xr6:coauthVersionLast="47" xr6:coauthVersionMax="47" xr10:uidLastSave="{00000000-0000-0000-0000-000000000000}"/>
  <bookViews>
    <workbookView xWindow="0" yWindow="680" windowWidth="29400" windowHeight="18440" activeTab="3" xr2:uid="{7DAB4053-5F98-BA45-931E-A608B3E7FDD4}"/>
  </bookViews>
  <sheets>
    <sheet name="Golfer_Input" sheetId="2" r:id="rId1"/>
    <sheet name="Normalized_Averages" sheetId="3" r:id="rId2"/>
    <sheet name="Percentiles" sheetId="7" r:id="rId3"/>
    <sheet name="Strokes_Gained" sheetId="5" r:id="rId4"/>
    <sheet name="Tier_Baselines" sheetId="1" r:id="rId5"/>
    <sheet name="Target_Tiers" sheetId="4" r:id="rId6"/>
    <sheet name="Identity Tower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5" l="1"/>
  <c r="B5" i="5"/>
  <c r="B4" i="5"/>
  <c r="B3" i="5"/>
  <c r="B2" i="5"/>
  <c r="E4" i="7"/>
  <c r="E3" i="7"/>
  <c r="E5" i="7"/>
  <c r="E2" i="7"/>
  <c r="D4" i="7"/>
  <c r="D3" i="7"/>
  <c r="D5" i="7"/>
  <c r="D2" i="7"/>
  <c r="C4" i="7"/>
  <c r="C3" i="7"/>
  <c r="C5" i="7"/>
  <c r="C2" i="7"/>
  <c r="C3" i="4" a="1"/>
  <c r="C3" i="4" s="1"/>
  <c r="G3" i="7" s="1"/>
  <c r="C4" i="4" a="1"/>
  <c r="C4" i="4" s="1"/>
  <c r="G4" i="7" s="1"/>
  <c r="C5" i="4" a="1"/>
  <c r="C5" i="4" s="1"/>
  <c r="G5" i="7" s="1"/>
  <c r="C2" i="4" a="1"/>
  <c r="C2" i="4" s="1"/>
  <c r="G2" i="7" s="1"/>
  <c r="B3" i="4" a="1"/>
  <c r="B3" i="4" s="1"/>
  <c r="F3" i="7" s="1"/>
  <c r="B4" i="4" a="1"/>
  <c r="B4" i="4" s="1"/>
  <c r="F4" i="7" s="1"/>
  <c r="B5" i="4" a="1"/>
  <c r="B5" i="4" s="1"/>
  <c r="F5" i="7" s="1"/>
  <c r="B2" i="4" a="1"/>
  <c r="B2" i="4" s="1"/>
  <c r="F2" i="7" s="1"/>
  <c r="B8" i="3"/>
  <c r="B4" i="3" s="1"/>
  <c r="B7" i="3"/>
  <c r="B2" i="3" s="1"/>
  <c r="B6" i="3"/>
  <c r="B10" i="3"/>
  <c r="B9" i="3" s="1"/>
  <c r="B5" i="3" s="1"/>
  <c r="F3" i="2"/>
  <c r="F4" i="2"/>
  <c r="F5" i="2"/>
  <c r="F6" i="2"/>
  <c r="F7" i="2"/>
  <c r="F8" i="2"/>
  <c r="F9" i="2"/>
  <c r="F10" i="2"/>
  <c r="F11" i="2"/>
  <c r="F2" i="2"/>
  <c r="B3" i="3" l="1"/>
  <c r="B2" i="7"/>
  <c r="B5" i="7"/>
  <c r="B3" i="7" l="1"/>
  <c r="B4" i="7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<sst xmlns="http://schemas.openxmlformats.org/spreadsheetml/2006/main" count="112" uniqueCount="83">
  <si>
    <t>Round</t>
  </si>
  <si>
    <t>Score</t>
  </si>
  <si>
    <t>Par</t>
  </si>
  <si>
    <t>Rating</t>
  </si>
  <si>
    <t>Par3s</t>
  </si>
  <si>
    <t>Driving_Holes</t>
  </si>
  <si>
    <t>Fairways</t>
  </si>
  <si>
    <t>Greens</t>
  </si>
  <si>
    <t>Scrambles</t>
  </si>
  <si>
    <t>Tier</t>
  </si>
  <si>
    <t>Metric</t>
  </si>
  <si>
    <t>Handicap</t>
  </si>
  <si>
    <t>25+</t>
  </si>
  <si>
    <t>100+ Golfer</t>
  </si>
  <si>
    <t>18–24</t>
  </si>
  <si>
    <t>90s Golfer</t>
  </si>
  <si>
    <t>12–17</t>
  </si>
  <si>
    <t>Mid-Handicap</t>
  </si>
  <si>
    <t>7–11</t>
  </si>
  <si>
    <t>High Single Digit</t>
  </si>
  <si>
    <t>5–6</t>
  </si>
  <si>
    <t>Single Digit</t>
  </si>
  <si>
    <t>3–4</t>
  </si>
  <si>
    <t>Low Handicap</t>
  </si>
  <si>
    <t>0–2</t>
  </si>
  <si>
    <t>Scratch</t>
  </si>
  <si>
    <t>+</t>
  </si>
  <si>
    <t>Plus Handicap</t>
  </si>
  <si>
    <t>GIR%</t>
  </si>
  <si>
    <t>GIR</t>
  </si>
  <si>
    <t>Scramble</t>
  </si>
  <si>
    <t>Target Baseline</t>
  </si>
  <si>
    <t>Peer Baseline</t>
  </si>
  <si>
    <t>Fairways %</t>
  </si>
  <si>
    <t>GIR %</t>
  </si>
  <si>
    <t>Putts per GIR</t>
  </si>
  <si>
    <t>Scramble %</t>
  </si>
  <si>
    <t>Skill</t>
  </si>
  <si>
    <t>Units</t>
  </si>
  <si>
    <t>Fairway %</t>
  </si>
  <si>
    <t>Avg Par 3s</t>
  </si>
  <si>
    <t>Driving Holes</t>
  </si>
  <si>
    <t>GIR Total</t>
  </si>
  <si>
    <t>Missed Greens</t>
  </si>
  <si>
    <t>Rounds</t>
  </si>
  <si>
    <t>%</t>
  </si>
  <si>
    <t>per</t>
  </si>
  <si>
    <t>#</t>
  </si>
  <si>
    <t>Driving</t>
  </si>
  <si>
    <t>Approach</t>
  </si>
  <si>
    <t>Putting</t>
  </si>
  <si>
    <t>Short Game</t>
  </si>
  <si>
    <t>Total</t>
  </si>
  <si>
    <t>Your Avg</t>
  </si>
  <si>
    <t xml:space="preserve">Definition </t>
  </si>
  <si>
    <t>% of driving holes where tee shot finished in fairway</t>
  </si>
  <si>
    <t>% of holes where green was reached in regulation</t>
  </si>
  <si>
    <t>Avg putts only on holes where you hit the green</t>
  </si>
  <si>
    <t>% of missed greens where par or better was saved</t>
  </si>
  <si>
    <t>Total non–par-3 holes across all rounds</t>
  </si>
  <si>
    <t>Greens not hit in regulation</t>
  </si>
  <si>
    <t>Total greens hit</t>
  </si>
  <si>
    <t>Avg par-3s per round (for normalization)</t>
  </si>
  <si>
    <t>Number of rounds entered</t>
  </si>
  <si>
    <t>Category</t>
  </si>
  <si>
    <t>Meaning</t>
  </si>
  <si>
    <t>Shots lost off the tee vs target</t>
  </si>
  <si>
    <t>Shots lost with irons &amp; wedges</t>
  </si>
  <si>
    <t>Shots lost on greens</t>
  </si>
  <si>
    <t>Shots lost around greens</t>
  </si>
  <si>
    <t>Total shots per round behind target</t>
  </si>
  <si>
    <t>Target Ratio</t>
  </si>
  <si>
    <t>Peer Rank %</t>
  </si>
  <si>
    <t>Target Rank %</t>
  </si>
  <si>
    <t>Your real stat from Normalized tab</t>
  </si>
  <si>
    <t>Average golfer at your current tier</t>
  </si>
  <si>
    <t>Average golfer at your target tier</t>
  </si>
  <si>
    <t>Strokes vs Target</t>
  </si>
  <si>
    <t>Tier_Strokes</t>
  </si>
  <si>
    <t>How close am I to the golfer I want to become</t>
  </si>
  <si>
    <t>where do I rank vs peers (current tier). 50= exactly average for my tier, 80 = better than ~80% of my peers 20 = worse than ~80% of my peers</t>
  </si>
  <si>
    <t>Where do I rank vs target tier --same as D7</t>
  </si>
  <si>
    <t xml:space="preserve">How many shots per round am I losing to my target tier and where?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</si>
</sst>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0" xfId="0" applyFont="1"/>
    <xf numFmtId="164" fontId="0" fillId="0" borderId="0" xfId="1" applyNumberFormat="1" applyFont="1"/>
    <xf numFmtId="165" fontId="0" fillId="0" borderId="0" xfId="1" applyNumberFormat="1" applyFont="1"/>
    <xf numFmtId="165" fontId="0" fillId="0" borderId="0" xfId="0" applyNumberFormat="1"/>
    <xf numFmtId="9" fontId="0" fillId="0" borderId="0" xfId="0" applyNumberFormat="1"/>
    <xf numFmtId="0" fontId="4" fillId="0" borderId="0" xfId="0" applyFont="1"/>
    <xf numFmtId="165" fontId="4" fillId="0" borderId="0" xfId="0" applyNumberFormat="1" applyFont="1"/>
    <xf numFmtId="164" fontId="4" fillId="0" borderId="0" xfId="1" applyNumberFormat="1" applyFont="1"/>
    <xf numFmtId="165" fontId="3" fillId="0" borderId="0" xfId="0" applyNumberFormat="1" applyFont="1"/>
    <xf numFmtId="1" fontId="0" fillId="0" borderId="0" xfId="0" applyNumberForma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center"/>
    </xf>
  </cellXfs>
  <cellStyles count="2">
    <cellStyle name="Normal" xfId="0" builtinId="0"/>
    <cellStyle name="Percent" xfId="1" builtinId="5"/>
  </cellStyles>
  <dxfs count="11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65" formatCode="0.0"/>
    </dxf>
    <dxf>
      <numFmt numFmtId="1" formatCode="0"/>
    </dxf>
    <dxf>
      <numFmt numFmtId="1" formatCode="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8A6EC1-994A-FC47-82BF-78CD8801767E}" name="Table2" displayName="Table2" ref="A1:J12" totalsRowShown="0" dataDxfId="10">
  <autoFilter ref="A1:J12" xr:uid="{298A6EC1-994A-FC47-82BF-78CD8801767E}"/>
  <tableColumns count="10">
    <tableColumn id="1" xr3:uid="{7D2B9724-3136-CE4D-AA55-5231B4071BE2}" name="Round" dataDxfId="9"/>
    <tableColumn id="2" xr3:uid="{66B2AA62-57E4-0C43-B106-C77AAE260B04}" name="Score" dataDxfId="8"/>
    <tableColumn id="3" xr3:uid="{48F4F05C-1B49-D94A-B9AA-FE74521C4704}" name="Par" dataDxfId="7"/>
    <tableColumn id="4" xr3:uid="{3FAB117E-8F3A-7E44-9B82-17A578639159}" name="Rating" dataDxfId="6"/>
    <tableColumn id="5" xr3:uid="{AD98EBA3-B44B-8949-A365-BCDB58F4C8C4}" name="Par3s" dataDxfId="5"/>
    <tableColumn id="6" xr3:uid="{6C8D8650-9160-394C-BDB7-F890C6A17F18}" name="Driving_Holes" dataDxfId="4">
      <calculatedColumnFormula>18-Table2[[#This Row],[Par3s]]</calculatedColumnFormula>
    </tableColumn>
    <tableColumn id="7" xr3:uid="{C3682F10-3F82-6C4B-B1C4-80E3F4892C87}" name="Fairways" dataDxfId="3"/>
    <tableColumn id="8" xr3:uid="{23F3678E-8E7E-0847-B1CF-AF33C23A3EFF}" name="Greens" dataDxfId="2"/>
    <tableColumn id="9" xr3:uid="{24934948-01A5-F047-B95B-146154B77876}" name="Putts per GIR" dataDxfId="1"/>
    <tableColumn id="10" xr3:uid="{0AE0E9A8-5A8E-C745-9631-01FE660CF66C}" name="Scramb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6679-2AE0-374A-AE19-35F76DA9E7F1}">
  <dimension ref="A1:J12"/>
  <sheetViews>
    <sheetView workbookViewId="0">
      <selection activeCell="F6" sqref="F6"/>
    </sheetView>
  </sheetViews>
  <sheetFormatPr baseColWidth="10" defaultRowHeight="16" x14ac:dyDescent="0.2"/>
  <cols>
    <col min="1" max="1" width="8.6640625" customWidth="1"/>
    <col min="2" max="5" width="13.6640625" customWidth="1"/>
    <col min="6" max="6" width="15" customWidth="1"/>
    <col min="7" max="8" width="13.6640625" customWidth="1"/>
    <col min="9" max="9" width="14.5" bestFit="1" customWidth="1"/>
    <col min="10" max="10" width="13.664062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35</v>
      </c>
      <c r="J1" t="s">
        <v>8</v>
      </c>
    </row>
    <row r="2" spans="1:10" x14ac:dyDescent="0.2">
      <c r="A2" s="10">
        <v>1</v>
      </c>
      <c r="B2" s="10">
        <v>88</v>
      </c>
      <c r="C2" s="10">
        <v>72</v>
      </c>
      <c r="D2" s="4">
        <v>73.5</v>
      </c>
      <c r="E2" s="10">
        <v>4</v>
      </c>
      <c r="F2" s="10">
        <f>18-Table2[[#This Row],[Par3s]]</f>
        <v>14</v>
      </c>
      <c r="G2" s="10">
        <v>7</v>
      </c>
      <c r="H2" s="10">
        <v>6</v>
      </c>
      <c r="I2" s="10">
        <v>12</v>
      </c>
      <c r="J2" s="10">
        <v>2</v>
      </c>
    </row>
    <row r="3" spans="1:10" x14ac:dyDescent="0.2">
      <c r="A3" s="10">
        <v>2</v>
      </c>
      <c r="B3" s="10">
        <v>91</v>
      </c>
      <c r="C3" s="10">
        <v>71</v>
      </c>
      <c r="D3" s="9">
        <v>72.2</v>
      </c>
      <c r="E3" s="10">
        <v>3</v>
      </c>
      <c r="F3" s="10">
        <f>18-Table2[[#This Row],[Par3s]]</f>
        <v>15</v>
      </c>
      <c r="G3" s="10">
        <v>8</v>
      </c>
      <c r="H3" s="10">
        <v>5</v>
      </c>
      <c r="I3" s="10">
        <v>11</v>
      </c>
      <c r="J3" s="10">
        <v>1</v>
      </c>
    </row>
    <row r="4" spans="1:10" x14ac:dyDescent="0.2">
      <c r="A4" s="10">
        <v>3</v>
      </c>
      <c r="B4" s="10">
        <v>86</v>
      </c>
      <c r="C4" s="10">
        <v>72</v>
      </c>
      <c r="D4" s="4">
        <v>74.099999999999994</v>
      </c>
      <c r="E4" s="10">
        <v>4</v>
      </c>
      <c r="F4" s="10">
        <f>18-Table2[[#This Row],[Par3s]]</f>
        <v>14</v>
      </c>
      <c r="G4" s="10">
        <v>6</v>
      </c>
      <c r="H4" s="10">
        <v>7</v>
      </c>
      <c r="I4" s="10">
        <v>13</v>
      </c>
      <c r="J4" s="10">
        <v>3</v>
      </c>
    </row>
    <row r="5" spans="1:10" x14ac:dyDescent="0.2">
      <c r="A5" s="10">
        <v>4</v>
      </c>
      <c r="B5" s="10">
        <v>89</v>
      </c>
      <c r="C5" s="10">
        <v>70</v>
      </c>
      <c r="D5" s="4">
        <v>71</v>
      </c>
      <c r="E5" s="10">
        <v>4</v>
      </c>
      <c r="F5" s="10">
        <f>18-Table2[[#This Row],[Par3s]]</f>
        <v>14</v>
      </c>
      <c r="G5" s="10">
        <v>7</v>
      </c>
      <c r="H5" s="10">
        <v>5</v>
      </c>
      <c r="I5" s="10">
        <v>11</v>
      </c>
      <c r="J5" s="10">
        <v>2</v>
      </c>
    </row>
    <row r="6" spans="1:10" x14ac:dyDescent="0.2">
      <c r="A6" s="10">
        <v>5</v>
      </c>
      <c r="B6" s="10">
        <v>87</v>
      </c>
      <c r="C6" s="10">
        <v>72</v>
      </c>
      <c r="D6" s="4">
        <v>73</v>
      </c>
      <c r="E6" s="10">
        <v>4</v>
      </c>
      <c r="F6" s="10">
        <f>18-Table2[[#This Row],[Par3s]]</f>
        <v>14</v>
      </c>
      <c r="G6" s="10">
        <v>6</v>
      </c>
      <c r="H6" s="10">
        <v>6</v>
      </c>
      <c r="I6" s="10">
        <v>12</v>
      </c>
      <c r="J6" s="10">
        <v>2</v>
      </c>
    </row>
    <row r="7" spans="1:10" x14ac:dyDescent="0.2">
      <c r="A7" s="10">
        <v>6</v>
      </c>
      <c r="B7" s="10">
        <v>85</v>
      </c>
      <c r="C7" s="10">
        <v>72</v>
      </c>
      <c r="D7" s="4">
        <v>71.400000000000006</v>
      </c>
      <c r="E7" s="10">
        <v>4</v>
      </c>
      <c r="F7" s="10">
        <f>18-Table2[[#This Row],[Par3s]]</f>
        <v>14</v>
      </c>
      <c r="G7" s="10">
        <v>7</v>
      </c>
      <c r="H7" s="10">
        <v>8</v>
      </c>
      <c r="I7" s="10">
        <v>16</v>
      </c>
      <c r="J7" s="10">
        <v>3</v>
      </c>
    </row>
    <row r="8" spans="1:10" x14ac:dyDescent="0.2">
      <c r="A8" s="10">
        <v>7</v>
      </c>
      <c r="B8" s="10">
        <v>87</v>
      </c>
      <c r="C8" s="10">
        <v>71</v>
      </c>
      <c r="D8" s="4">
        <v>70.900000000000006</v>
      </c>
      <c r="E8" s="10">
        <v>3</v>
      </c>
      <c r="F8" s="10">
        <f>18-Table2[[#This Row],[Par3s]]</f>
        <v>15</v>
      </c>
      <c r="G8" s="10">
        <v>6</v>
      </c>
      <c r="H8" s="10">
        <v>7</v>
      </c>
      <c r="I8" s="10">
        <v>15</v>
      </c>
      <c r="J8" s="10">
        <v>4</v>
      </c>
    </row>
    <row r="9" spans="1:10" x14ac:dyDescent="0.2">
      <c r="A9" s="10">
        <v>8</v>
      </c>
      <c r="B9" s="10">
        <v>83</v>
      </c>
      <c r="C9" s="10">
        <v>70</v>
      </c>
      <c r="D9" s="4">
        <v>69.8</v>
      </c>
      <c r="E9" s="10">
        <v>4</v>
      </c>
      <c r="F9" s="10">
        <f>18-Table2[[#This Row],[Par3s]]</f>
        <v>14</v>
      </c>
      <c r="G9" s="10">
        <v>8</v>
      </c>
      <c r="H9" s="10">
        <v>9</v>
      </c>
      <c r="I9" s="10">
        <v>20</v>
      </c>
      <c r="J9" s="10">
        <v>3</v>
      </c>
    </row>
    <row r="10" spans="1:10" x14ac:dyDescent="0.2">
      <c r="A10" s="10">
        <v>9</v>
      </c>
      <c r="B10" s="10">
        <v>88</v>
      </c>
      <c r="C10" s="10">
        <v>72</v>
      </c>
      <c r="D10" s="4">
        <v>71.599999999999994</v>
      </c>
      <c r="E10" s="10">
        <v>4</v>
      </c>
      <c r="F10" s="10">
        <f>18-Table2[[#This Row],[Par3s]]</f>
        <v>14</v>
      </c>
      <c r="G10" s="10">
        <v>6</v>
      </c>
      <c r="H10" s="10">
        <v>7</v>
      </c>
      <c r="I10" s="10">
        <v>15</v>
      </c>
      <c r="J10" s="10">
        <v>2</v>
      </c>
    </row>
    <row r="11" spans="1:10" x14ac:dyDescent="0.2">
      <c r="A11" s="10">
        <v>10</v>
      </c>
      <c r="B11" s="10">
        <v>84</v>
      </c>
      <c r="C11" s="10">
        <v>71</v>
      </c>
      <c r="D11" s="4">
        <v>70.5</v>
      </c>
      <c r="E11" s="10">
        <v>3</v>
      </c>
      <c r="F11" s="10">
        <f>18-Table2[[#This Row],[Par3s]]</f>
        <v>15</v>
      </c>
      <c r="G11" s="10">
        <v>7</v>
      </c>
      <c r="H11" s="10">
        <v>8</v>
      </c>
      <c r="I11" s="10">
        <v>15</v>
      </c>
      <c r="J11" s="10">
        <v>3</v>
      </c>
    </row>
    <row r="12" spans="1:10" x14ac:dyDescent="0.2">
      <c r="A12" s="10"/>
      <c r="B12" s="10"/>
      <c r="C12" s="10"/>
      <c r="D12" s="4"/>
      <c r="E12" s="10"/>
      <c r="F12" s="10"/>
      <c r="G12" s="10"/>
      <c r="H12" s="10"/>
      <c r="I12" s="10"/>
      <c r="J12" s="10"/>
    </row>
  </sheetData>
  <dataValidations count="4">
    <dataValidation type="custom" allowBlank="1" showInputMessage="1" showErrorMessage="1" sqref="G2:G12" xr:uid="{37D87E5B-946E-2740-BA3E-66794714AF92}">
      <formula1>G2&lt;=F2</formula1>
    </dataValidation>
    <dataValidation type="custom" allowBlank="1" showInputMessage="1" showErrorMessage="1" sqref="H2:H12" xr:uid="{065A9D5F-9A43-764D-9165-E17E84ACA5D2}">
      <formula1>H2&lt;=18</formula1>
    </dataValidation>
    <dataValidation type="custom" allowBlank="1" showInputMessage="1" showErrorMessage="1" sqref="J2:J12" xr:uid="{EAF37D76-A67C-444F-A94D-808C2BE2A42A}">
      <formula1>J2&lt;=(18-H2)</formula1>
    </dataValidation>
    <dataValidation type="whole" allowBlank="1" showInputMessage="1" showErrorMessage="1" sqref="E2:E12" xr:uid="{8C0886F5-C558-A24F-83F1-ED71428B587D}">
      <formula1>3</formula1>
      <formula2>6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BC15F-AF0B-C44F-AFEB-528CD76B2003}">
  <dimension ref="A1:D10"/>
  <sheetViews>
    <sheetView workbookViewId="0">
      <selection activeCell="B7" sqref="B7"/>
    </sheetView>
  </sheetViews>
  <sheetFormatPr baseColWidth="10" defaultRowHeight="16" x14ac:dyDescent="0.2"/>
  <cols>
    <col min="1" max="1" width="22.6640625" customWidth="1"/>
    <col min="2" max="2" width="12.33203125" customWidth="1"/>
    <col min="4" max="4" width="42.6640625" bestFit="1" customWidth="1"/>
  </cols>
  <sheetData>
    <row r="1" spans="1:4" x14ac:dyDescent="0.2">
      <c r="A1" t="s">
        <v>10</v>
      </c>
      <c r="B1" t="s">
        <v>53</v>
      </c>
      <c r="C1" t="s">
        <v>38</v>
      </c>
      <c r="D1" t="s">
        <v>54</v>
      </c>
    </row>
    <row r="2" spans="1:4" x14ac:dyDescent="0.2">
      <c r="A2" t="s">
        <v>39</v>
      </c>
      <c r="B2" s="2">
        <f>SUM(Golfer_Input!G:G) / B7</f>
        <v>0.47552447552447552</v>
      </c>
      <c r="C2" t="s">
        <v>45</v>
      </c>
      <c r="D2" t="s">
        <v>55</v>
      </c>
    </row>
    <row r="3" spans="1:4" x14ac:dyDescent="0.2">
      <c r="A3" t="s">
        <v>34</v>
      </c>
      <c r="B3" s="2">
        <f>B8 / (B10*18)</f>
        <v>0.37777777777777777</v>
      </c>
      <c r="C3" t="s">
        <v>45</v>
      </c>
      <c r="D3" t="s">
        <v>56</v>
      </c>
    </row>
    <row r="4" spans="1:4" x14ac:dyDescent="0.2">
      <c r="A4" t="s">
        <v>35</v>
      </c>
      <c r="B4" s="3">
        <f>SUM(Golfer_Input!I:I) / B8</f>
        <v>2.0588235294117645</v>
      </c>
      <c r="C4" t="s">
        <v>46</v>
      </c>
      <c r="D4" t="s">
        <v>57</v>
      </c>
    </row>
    <row r="5" spans="1:4" x14ac:dyDescent="0.2">
      <c r="A5" t="s">
        <v>36</v>
      </c>
      <c r="B5" s="2">
        <f>SUM(Golfer_Input!J:J) / B9</f>
        <v>0.22321428571428573</v>
      </c>
      <c r="C5" t="s">
        <v>45</v>
      </c>
      <c r="D5" t="s">
        <v>58</v>
      </c>
    </row>
    <row r="6" spans="1:4" x14ac:dyDescent="0.2">
      <c r="A6" t="s">
        <v>40</v>
      </c>
      <c r="B6">
        <f>AVERAGE(Golfer_Input!E:E)</f>
        <v>3.7</v>
      </c>
      <c r="C6" t="s">
        <v>47</v>
      </c>
      <c r="D6" t="s">
        <v>62</v>
      </c>
    </row>
    <row r="7" spans="1:4" x14ac:dyDescent="0.2">
      <c r="A7" t="s">
        <v>41</v>
      </c>
      <c r="B7">
        <f>SUM(Golfer_Input!F:F)</f>
        <v>143</v>
      </c>
      <c r="C7" t="s">
        <v>47</v>
      </c>
      <c r="D7" t="s">
        <v>59</v>
      </c>
    </row>
    <row r="8" spans="1:4" x14ac:dyDescent="0.2">
      <c r="A8" t="s">
        <v>42</v>
      </c>
      <c r="B8">
        <f>SUM(Golfer_Input!H:H)</f>
        <v>68</v>
      </c>
      <c r="C8" t="s">
        <v>47</v>
      </c>
      <c r="D8" t="s">
        <v>61</v>
      </c>
    </row>
    <row r="9" spans="1:4" x14ac:dyDescent="0.2">
      <c r="A9" t="s">
        <v>43</v>
      </c>
      <c r="B9">
        <f>(B10*18) - B8</f>
        <v>112</v>
      </c>
      <c r="C9" t="s">
        <v>47</v>
      </c>
      <c r="D9" t="s">
        <v>60</v>
      </c>
    </row>
    <row r="10" spans="1:4" x14ac:dyDescent="0.2">
      <c r="A10" t="s">
        <v>44</v>
      </c>
      <c r="B10">
        <f>COUNT(Golfer_Input!B:B)</f>
        <v>10</v>
      </c>
      <c r="C10" t="s">
        <v>47</v>
      </c>
      <c r="D10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2D85-0FB6-014B-9BEE-2672D725E88A}">
  <dimension ref="A1:G10"/>
  <sheetViews>
    <sheetView workbookViewId="0">
      <selection activeCell="E7" sqref="E7"/>
    </sheetView>
  </sheetViews>
  <sheetFormatPr baseColWidth="10" defaultRowHeight="16" x14ac:dyDescent="0.2"/>
  <cols>
    <col min="1" max="1" width="23.1640625" customWidth="1"/>
    <col min="2" max="7" width="13.33203125" customWidth="1"/>
  </cols>
  <sheetData>
    <row r="1" spans="1:7" x14ac:dyDescent="0.2">
      <c r="A1" t="s">
        <v>37</v>
      </c>
      <c r="B1" t="s">
        <v>53</v>
      </c>
      <c r="C1" t="s">
        <v>71</v>
      </c>
      <c r="D1" t="s">
        <v>72</v>
      </c>
      <c r="E1" t="s">
        <v>73</v>
      </c>
      <c r="F1" t="s">
        <v>32</v>
      </c>
      <c r="G1" t="s">
        <v>31</v>
      </c>
    </row>
    <row r="2" spans="1:7" ht="17" x14ac:dyDescent="0.25">
      <c r="A2" t="s">
        <v>6</v>
      </c>
      <c r="B2" s="2">
        <f>Normalized_Averages!B2</f>
        <v>0.47552447552447552</v>
      </c>
      <c r="C2" s="2">
        <f>(B2-F2)/(G2-F2)</f>
        <v>0.52511125238397971</v>
      </c>
      <c r="D2" s="3">
        <f>MAX(0,MIN(100,50+100*(B2-F2)/(G2-F2)))</f>
        <v>100</v>
      </c>
      <c r="E2" s="3">
        <f>MAX(0,MIN(100,50+100*(B2-G2)/(G2-F2)))</f>
        <v>2.5111252383979803</v>
      </c>
      <c r="F2" s="8">
        <f>Target_Tiers!B2</f>
        <v>0.36</v>
      </c>
      <c r="G2" s="8">
        <f>Target_Tiers!C2</f>
        <v>0.57999999999999996</v>
      </c>
    </row>
    <row r="3" spans="1:7" ht="17" x14ac:dyDescent="0.25">
      <c r="A3" t="s">
        <v>29</v>
      </c>
      <c r="B3" s="2">
        <f>Normalized_Averages!B3</f>
        <v>0.37777777777777777</v>
      </c>
      <c r="C3" s="2">
        <f t="shared" ref="C3:C5" si="0">(B3-F3)/(G3-F3)</f>
        <v>0.42592592592592582</v>
      </c>
      <c r="D3" s="3">
        <f t="shared" ref="D3:D5" si="1">MAX(0,MIN(100,50+100*(B3-F3)/(G3-F3)))</f>
        <v>92.592592592592581</v>
      </c>
      <c r="E3" s="3">
        <f t="shared" ref="E3:E5" si="2">MAX(0,MIN(100,50+100*(B3-G3)/(G3-F3)))</f>
        <v>0</v>
      </c>
      <c r="F3" s="8">
        <f>Target_Tiers!B3</f>
        <v>0.25</v>
      </c>
      <c r="G3" s="8">
        <f>Target_Tiers!C3</f>
        <v>0.55000000000000004</v>
      </c>
    </row>
    <row r="4" spans="1:7" ht="17" x14ac:dyDescent="0.25">
      <c r="A4" t="s">
        <v>35</v>
      </c>
      <c r="B4" s="4">
        <f>Normalized_Averages!B4</f>
        <v>2.0588235294117645</v>
      </c>
      <c r="C4" s="2">
        <f>(F4-B4)/(F4-G4)</f>
        <v>0.47058823529411853</v>
      </c>
      <c r="D4" s="3">
        <f>MAX(0,MIN(100,50+100*(F4-B4)/(F4-G4)))</f>
        <v>97.058823529411853</v>
      </c>
      <c r="E4" s="3">
        <f>MAX(0,MIN(100,50+100*(G4-B4)/(F4-G4)))</f>
        <v>0</v>
      </c>
      <c r="F4" s="7">
        <f>Target_Tiers!B4</f>
        <v>2.2000000000000002</v>
      </c>
      <c r="G4" s="6">
        <f>Target_Tiers!C4</f>
        <v>1.9</v>
      </c>
    </row>
    <row r="5" spans="1:7" ht="17" x14ac:dyDescent="0.25">
      <c r="A5" t="s">
        <v>30</v>
      </c>
      <c r="B5" s="2">
        <f>Normalized_Averages!B5</f>
        <v>0.22321428571428573</v>
      </c>
      <c r="C5" s="2">
        <f t="shared" si="0"/>
        <v>0.11607142857142858</v>
      </c>
      <c r="D5" s="3">
        <f t="shared" si="1"/>
        <v>61.607142857142861</v>
      </c>
      <c r="E5" s="3">
        <f t="shared" si="2"/>
        <v>0</v>
      </c>
      <c r="F5" s="8">
        <f>Target_Tiers!B5</f>
        <v>0.2</v>
      </c>
      <c r="G5" s="8">
        <f>Target_Tiers!C5</f>
        <v>0.4</v>
      </c>
    </row>
    <row r="6" spans="1:7" ht="17" x14ac:dyDescent="0.25">
      <c r="F6" s="6"/>
    </row>
    <row r="7" spans="1:7" ht="175" customHeight="1" x14ac:dyDescent="0.25">
      <c r="A7" t="s">
        <v>54</v>
      </c>
      <c r="B7" s="11" t="s">
        <v>74</v>
      </c>
      <c r="C7" s="11" t="s">
        <v>79</v>
      </c>
      <c r="D7" s="11" t="s">
        <v>80</v>
      </c>
      <c r="E7" s="11" t="s">
        <v>81</v>
      </c>
      <c r="F7" s="12" t="s">
        <v>75</v>
      </c>
      <c r="G7" s="11" t="s">
        <v>76</v>
      </c>
    </row>
    <row r="8" spans="1:7" ht="17" x14ac:dyDescent="0.25">
      <c r="F8" s="6"/>
    </row>
    <row r="9" spans="1:7" ht="17" x14ac:dyDescent="0.25">
      <c r="F9" s="6"/>
    </row>
    <row r="10" spans="1:7" ht="17" x14ac:dyDescent="0.25">
      <c r="F10" s="6"/>
    </row>
  </sheetData>
  <pageMargins left="0.7" right="0.7" top="0.75" bottom="0.75" header="0.3" footer="0.3"/>
  <ignoredErrors>
    <ignoredError sqref="C4 D4:E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E4534-6C84-2342-AE62-4EF63A6F0984}">
  <dimension ref="A1:D15"/>
  <sheetViews>
    <sheetView tabSelected="1" workbookViewId="0">
      <selection activeCell="A15" sqref="A15:D15"/>
    </sheetView>
  </sheetViews>
  <sheetFormatPr baseColWidth="10" defaultRowHeight="16" x14ac:dyDescent="0.2"/>
  <cols>
    <col min="1" max="1" width="17.33203125" bestFit="1" customWidth="1"/>
    <col min="2" max="3" width="22.6640625" customWidth="1"/>
    <col min="4" max="4" width="29.33203125" bestFit="1" customWidth="1"/>
  </cols>
  <sheetData>
    <row r="1" spans="1:4" x14ac:dyDescent="0.2">
      <c r="A1" t="s">
        <v>64</v>
      </c>
      <c r="B1" t="s">
        <v>77</v>
      </c>
      <c r="C1" t="s">
        <v>78</v>
      </c>
      <c r="D1" t="s">
        <v>65</v>
      </c>
    </row>
    <row r="2" spans="1:4" x14ac:dyDescent="0.2">
      <c r="A2" t="s">
        <v>48</v>
      </c>
      <c r="B2" s="3">
        <f xml:space="preserve"> C2 * (Percentiles!E2/100 - 1)</f>
        <v>-4.8744437380801013</v>
      </c>
      <c r="C2" s="3">
        <v>5</v>
      </c>
      <c r="D2" t="s">
        <v>66</v>
      </c>
    </row>
    <row r="3" spans="1:4" x14ac:dyDescent="0.2">
      <c r="A3" t="s">
        <v>49</v>
      </c>
      <c r="B3" s="3">
        <f xml:space="preserve"> C3 * (Percentiles!E3/100 - 1)</f>
        <v>-6</v>
      </c>
      <c r="C3" s="3">
        <v>6</v>
      </c>
      <c r="D3" t="s">
        <v>67</v>
      </c>
    </row>
    <row r="4" spans="1:4" x14ac:dyDescent="0.2">
      <c r="A4" t="s">
        <v>50</v>
      </c>
      <c r="B4" s="4">
        <f xml:space="preserve"> C4 * (Percentiles!E4/100 - 1)</f>
        <v>-4</v>
      </c>
      <c r="C4" s="4">
        <v>4</v>
      </c>
      <c r="D4" t="s">
        <v>68</v>
      </c>
    </row>
    <row r="5" spans="1:4" x14ac:dyDescent="0.2">
      <c r="A5" t="s">
        <v>51</v>
      </c>
      <c r="B5" s="3">
        <f xml:space="preserve"> C5 * (Percentiles!E5/100 - 1)</f>
        <v>-3</v>
      </c>
      <c r="C5" s="3">
        <v>3</v>
      </c>
      <c r="D5" t="s">
        <v>69</v>
      </c>
    </row>
    <row r="6" spans="1:4" x14ac:dyDescent="0.2">
      <c r="A6" t="s">
        <v>52</v>
      </c>
      <c r="B6" s="4">
        <f>SUM(B2:B5)</f>
        <v>-17.874443738080103</v>
      </c>
      <c r="C6" s="4"/>
      <c r="D6" t="s">
        <v>70</v>
      </c>
    </row>
    <row r="15" spans="1:4" x14ac:dyDescent="0.2">
      <c r="A15" s="13" t="s">
        <v>82</v>
      </c>
      <c r="B15" s="13"/>
      <c r="C15" s="13"/>
      <c r="D15" s="13"/>
    </row>
  </sheetData>
  <mergeCells count="1">
    <mergeCell ref="A15:D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80F00-8339-404C-A564-D6109B294C67}">
  <dimension ref="A1:J5"/>
  <sheetViews>
    <sheetView workbookViewId="0">
      <selection activeCell="G10" sqref="G10"/>
    </sheetView>
  </sheetViews>
  <sheetFormatPr baseColWidth="10" defaultRowHeight="16" x14ac:dyDescent="0.2"/>
  <cols>
    <col min="1" max="1" width="11.6640625" bestFit="1" customWidth="1"/>
    <col min="2" max="9" width="14.33203125" customWidth="1"/>
  </cols>
  <sheetData>
    <row r="1" spans="1:10" x14ac:dyDescent="0.2">
      <c r="A1" t="s">
        <v>10</v>
      </c>
      <c r="B1" t="s">
        <v>13</v>
      </c>
      <c r="C1" t="s">
        <v>15</v>
      </c>
      <c r="D1" t="s">
        <v>17</v>
      </c>
      <c r="E1" t="s">
        <v>19</v>
      </c>
      <c r="F1" t="s">
        <v>21</v>
      </c>
      <c r="G1" t="s">
        <v>23</v>
      </c>
      <c r="H1" t="s">
        <v>25</v>
      </c>
      <c r="I1" t="s">
        <v>27</v>
      </c>
    </row>
    <row r="2" spans="1:10" x14ac:dyDescent="0.2">
      <c r="A2" t="s">
        <v>39</v>
      </c>
      <c r="B2" s="5">
        <v>0.3</v>
      </c>
      <c r="C2" s="5">
        <v>0.36</v>
      </c>
      <c r="D2" s="5">
        <v>0.42</v>
      </c>
      <c r="E2" s="5">
        <v>0.5</v>
      </c>
      <c r="F2" s="5">
        <v>0.55000000000000004</v>
      </c>
      <c r="G2" s="5">
        <v>0.57999999999999996</v>
      </c>
      <c r="H2" s="5">
        <v>0.6</v>
      </c>
      <c r="I2" s="5">
        <v>0.65</v>
      </c>
      <c r="J2" s="5"/>
    </row>
    <row r="3" spans="1:10" x14ac:dyDescent="0.2">
      <c r="A3" t="s">
        <v>28</v>
      </c>
      <c r="B3" s="5">
        <v>0.18</v>
      </c>
      <c r="C3" s="5">
        <v>0.25</v>
      </c>
      <c r="D3" s="5">
        <v>0.32</v>
      </c>
      <c r="E3" s="5">
        <v>0.42</v>
      </c>
      <c r="F3" s="5">
        <v>0.48</v>
      </c>
      <c r="G3" s="5">
        <v>0.55000000000000004</v>
      </c>
      <c r="H3" s="5">
        <v>0.6</v>
      </c>
      <c r="I3" s="5">
        <v>0.65</v>
      </c>
    </row>
    <row r="4" spans="1:10" x14ac:dyDescent="0.2">
      <c r="A4" t="s">
        <v>35</v>
      </c>
      <c r="B4">
        <v>2.2999999999999998</v>
      </c>
      <c r="C4">
        <v>2.2000000000000002</v>
      </c>
      <c r="D4">
        <v>2.1</v>
      </c>
      <c r="E4">
        <v>2</v>
      </c>
      <c r="F4">
        <v>1.95</v>
      </c>
      <c r="G4">
        <v>1.9</v>
      </c>
      <c r="H4">
        <v>1.85</v>
      </c>
      <c r="I4">
        <v>1.8</v>
      </c>
    </row>
    <row r="5" spans="1:10" x14ac:dyDescent="0.2">
      <c r="A5" t="s">
        <v>36</v>
      </c>
      <c r="B5" s="5">
        <v>0.15</v>
      </c>
      <c r="C5" s="5">
        <v>0.2</v>
      </c>
      <c r="D5" s="5">
        <v>0.25</v>
      </c>
      <c r="E5" s="5">
        <v>0.3</v>
      </c>
      <c r="F5" s="5">
        <v>0.35</v>
      </c>
      <c r="G5" s="5">
        <v>0.4</v>
      </c>
      <c r="H5" s="5">
        <v>0.45</v>
      </c>
      <c r="I5" s="5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763CB-422F-5C43-B53F-FD5AEA6BD28A}">
  <dimension ref="A1:C5"/>
  <sheetViews>
    <sheetView workbookViewId="0">
      <selection activeCell="C1" sqref="C1"/>
    </sheetView>
  </sheetViews>
  <sheetFormatPr baseColWidth="10" defaultRowHeight="16" x14ac:dyDescent="0.2"/>
  <cols>
    <col min="1" max="1" width="11.6640625" bestFit="1" customWidth="1"/>
    <col min="2" max="2" width="17.6640625" customWidth="1"/>
    <col min="3" max="3" width="20" customWidth="1"/>
  </cols>
  <sheetData>
    <row r="1" spans="1:3" x14ac:dyDescent="0.2">
      <c r="A1" t="s">
        <v>9</v>
      </c>
      <c r="B1" t="s">
        <v>15</v>
      </c>
      <c r="C1" t="s">
        <v>23</v>
      </c>
    </row>
    <row r="2" spans="1:3" x14ac:dyDescent="0.2">
      <c r="A2" t="s">
        <v>33</v>
      </c>
      <c r="B2" cm="1">
        <f t="array" ref="B2">INDEX(Tier_Baselines!$B$2:$I$5, ROW(A1), MATCH($B$1, Tier_Baselines!$B$1:$I$1, 0))</f>
        <v>0.36</v>
      </c>
      <c r="C2" cm="1">
        <f t="array" ref="C2">INDEX(Tier_Baselines!$B$2:$I$5, ROW(A1), MATCH($C$1, Tier_Baselines!$B$1:$I$1, 0))</f>
        <v>0.57999999999999996</v>
      </c>
    </row>
    <row r="3" spans="1:3" x14ac:dyDescent="0.2">
      <c r="A3" t="s">
        <v>34</v>
      </c>
      <c r="B3" cm="1">
        <f t="array" ref="B3">INDEX(Tier_Baselines!$B$2:$I$5, ROW(A2), MATCH($B$1, Tier_Baselines!$B$1:$I$1, 0))</f>
        <v>0.25</v>
      </c>
      <c r="C3" cm="1">
        <f t="array" ref="C3">INDEX(Tier_Baselines!$B$2:$I$5, ROW(A2), MATCH($C$1, Tier_Baselines!$B$1:$I$1, 0))</f>
        <v>0.55000000000000004</v>
      </c>
    </row>
    <row r="4" spans="1:3" x14ac:dyDescent="0.2">
      <c r="A4" t="s">
        <v>35</v>
      </c>
      <c r="B4" cm="1">
        <f t="array" ref="B4">INDEX(Tier_Baselines!$B$2:$I$5, ROW(A3), MATCH($B$1, Tier_Baselines!$B$1:$I$1, 0))</f>
        <v>2.2000000000000002</v>
      </c>
      <c r="C4" cm="1">
        <f t="array" ref="C4">INDEX(Tier_Baselines!$B$2:$I$5, ROW(A3), MATCH($C$1, Tier_Baselines!$B$1:$I$1, 0))</f>
        <v>1.9</v>
      </c>
    </row>
    <row r="5" spans="1:3" x14ac:dyDescent="0.2">
      <c r="A5" t="s">
        <v>36</v>
      </c>
      <c r="B5" cm="1">
        <f t="array" ref="B5">INDEX(Tier_Baselines!$B$2:$I$5, ROW(A4), MATCH($B$1, Tier_Baselines!$B$1:$I$1, 0))</f>
        <v>0.2</v>
      </c>
      <c r="C5" cm="1">
        <f t="array" ref="C5">INDEX(Tier_Baselines!$B$2:$I$5, ROW(A4), MATCH($C$1, Tier_Baselines!$B$1:$I$1, 0))</f>
        <v>0.4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1C4B9A9-D238-5F47-BAC8-797659493499}">
          <x14:formula1>
            <xm:f>Tier_Baselines!$B$1:$I$1</xm:f>
          </x14:formula1>
          <xm:sqref>B1:C1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CA78A-F5D4-AA49-817B-99D4350C0EEA}">
  <dimension ref="A1:B9"/>
  <sheetViews>
    <sheetView workbookViewId="0">
      <selection activeCell="C23" sqref="C23"/>
    </sheetView>
  </sheetViews>
  <sheetFormatPr baseColWidth="10" defaultRowHeight="16" x14ac:dyDescent="0.2"/>
  <cols>
    <col min="1" max="2" width="20.1640625" customWidth="1"/>
  </cols>
  <sheetData>
    <row r="1" spans="1:2" x14ac:dyDescent="0.2">
      <c r="A1" s="1" t="s">
        <v>11</v>
      </c>
      <c r="B1" s="1" t="s">
        <v>9</v>
      </c>
    </row>
    <row r="2" spans="1:2" x14ac:dyDescent="0.2">
      <c r="A2" t="s">
        <v>12</v>
      </c>
      <c r="B2" s="1" t="s">
        <v>13</v>
      </c>
    </row>
    <row r="3" spans="1:2" x14ac:dyDescent="0.2">
      <c r="A3" t="s">
        <v>14</v>
      </c>
      <c r="B3" s="1" t="s">
        <v>15</v>
      </c>
    </row>
    <row r="4" spans="1:2" x14ac:dyDescent="0.2">
      <c r="A4" t="s">
        <v>16</v>
      </c>
      <c r="B4" s="1" t="s">
        <v>17</v>
      </c>
    </row>
    <row r="5" spans="1:2" x14ac:dyDescent="0.2">
      <c r="A5" t="s">
        <v>18</v>
      </c>
      <c r="B5" s="1" t="s">
        <v>19</v>
      </c>
    </row>
    <row r="6" spans="1:2" x14ac:dyDescent="0.2">
      <c r="A6" t="s">
        <v>20</v>
      </c>
      <c r="B6" s="1" t="s">
        <v>21</v>
      </c>
    </row>
    <row r="7" spans="1:2" x14ac:dyDescent="0.2">
      <c r="A7" t="s">
        <v>22</v>
      </c>
      <c r="B7" s="1" t="s">
        <v>23</v>
      </c>
    </row>
    <row r="8" spans="1:2" x14ac:dyDescent="0.2">
      <c r="A8" t="s">
        <v>24</v>
      </c>
      <c r="B8" s="1" t="s">
        <v>25</v>
      </c>
    </row>
    <row r="9" spans="1:2" x14ac:dyDescent="0.2">
      <c r="A9" t="s">
        <v>26</v>
      </c>
      <c r="B9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Golfer_Input</vt:lpstr>
      <vt:lpstr>Normalized_Averages</vt:lpstr>
      <vt:lpstr>Percentiles</vt:lpstr>
      <vt:lpstr>Strokes_Gained</vt:lpstr>
      <vt:lpstr>Tier_Baselines</vt:lpstr>
      <vt:lpstr>Target_Tiers</vt:lpstr>
      <vt:lpstr>Identity Tower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Cruz</dc:creator>
  <cp:lastModifiedBy>Dustin Cruz</cp:lastModifiedBy>
  <dcterms:created xsi:type="dcterms:W3CDTF">2025-12-30T03:02:20Z</dcterms:created>
  <dcterms:modified xsi:type="dcterms:W3CDTF">2026-01-25T15:06:33Z</dcterms:modified>
</cp:coreProperties>
</file>