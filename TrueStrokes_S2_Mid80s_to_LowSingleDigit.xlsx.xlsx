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"/>
    </mc:Choice>
  </mc:AlternateContent>
  <xr:revisionPtr revIDLastSave="0" documentId="8_{F910B1B0-004C-FC46-91EF-BB9A74BF8565}" xr6:coauthVersionLast="47" xr6:coauthVersionMax="47" xr10:uidLastSave="{00000000-0000-0000-0000-000000000000}"/>
  <bookViews>
    <workbookView xWindow="29900" yWindow="620" windowWidth="19600" windowHeight="20320" activeTab="6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Report" sheetId="8" r:id="rId7"/>
    <sheet name="Identity Tower" sheetId="6" r:id="rId8"/>
    <sheet name="Progress_Lo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E2" i="5"/>
  <c r="B3" i="8"/>
  <c r="F8" i="2"/>
  <c r="F7" i="2"/>
  <c r="C3" i="4" a="1"/>
  <c r="C3" i="4" s="1"/>
  <c r="G3" i="7" s="1"/>
  <c r="C8" i="8" s="1"/>
  <c r="C4" i="4" a="1"/>
  <c r="C4" i="4" s="1"/>
  <c r="G4" i="7" s="1"/>
  <c r="C9" i="8" s="1"/>
  <c r="C5" i="4" a="1"/>
  <c r="C5" i="4" s="1"/>
  <c r="G5" i="7" s="1"/>
  <c r="C10" i="8" s="1"/>
  <c r="C2" i="4" a="1"/>
  <c r="C2" i="4" s="1"/>
  <c r="G2" i="7" s="1"/>
  <c r="C7" i="8" s="1"/>
  <c r="B8" i="3"/>
  <c r="B4" i="3" s="1"/>
  <c r="F2" i="9" s="1"/>
  <c r="B6" i="3"/>
  <c r="B10" i="3"/>
  <c r="B2" i="9" s="1"/>
  <c r="F3" i="2"/>
  <c r="F4" i="2"/>
  <c r="F5" i="2"/>
  <c r="F6" i="2"/>
  <c r="F2" i="2"/>
  <c r="L6" i="8" l="1" a="1"/>
  <c r="L6" i="8" s="1"/>
  <c r="B16" i="3"/>
  <c r="B15" i="3"/>
  <c r="B14" i="3"/>
  <c r="B13" i="3"/>
  <c r="B20" i="3"/>
  <c r="B19" i="3"/>
  <c r="B18" i="3"/>
  <c r="B17" i="3"/>
  <c r="B9" i="3"/>
  <c r="B5" i="3" s="1"/>
  <c r="B7" i="3"/>
  <c r="B2" i="3" s="1"/>
  <c r="B3" i="3"/>
  <c r="E2" i="9" l="1"/>
  <c r="L5" i="8" s="1" a="1"/>
  <c r="L5" i="8" s="1"/>
  <c r="B2" i="7"/>
  <c r="D2" i="9"/>
  <c r="L4" i="8" s="1" a="1"/>
  <c r="L4" i="8" s="1"/>
  <c r="B12" i="3"/>
  <c r="B5" i="7"/>
  <c r="B10" i="8" s="1"/>
  <c r="D10" i="8" s="1"/>
  <c r="G2" i="9"/>
  <c r="L7" i="8" s="1" a="1"/>
  <c r="L7" i="8" s="1"/>
  <c r="B3" i="7"/>
  <c r="B7" i="8" l="1"/>
  <c r="D7" i="8" s="1"/>
  <c r="E2" i="7"/>
  <c r="C2" i="9"/>
  <c r="L2" i="8" s="1" a="1"/>
  <c r="L2" i="8" s="1"/>
  <c r="C2" i="7"/>
  <c r="E7" i="8" s="1"/>
  <c r="C5" i="7"/>
  <c r="E10" i="8" s="1"/>
  <c r="B7" i="4"/>
  <c r="B9" i="4" s="1"/>
  <c r="B1" i="4" s="1"/>
  <c r="E1" i="5" s="1"/>
  <c r="E3" i="5" s="1"/>
  <c r="E5" i="7"/>
  <c r="B8" i="8"/>
  <c r="D8" i="8" s="1"/>
  <c r="C3" i="7"/>
  <c r="E3" i="7"/>
  <c r="B4" i="7"/>
  <c r="H2" i="9" l="1"/>
  <c r="K2" i="9"/>
  <c r="B2" i="5"/>
  <c r="B21" i="8" s="1"/>
  <c r="E21" i="8" s="1"/>
  <c r="B5" i="5"/>
  <c r="B24" i="8" s="1"/>
  <c r="E24" i="8" s="1"/>
  <c r="B3" i="4" a="1"/>
  <c r="B3" i="4" s="1"/>
  <c r="F3" i="7" s="1"/>
  <c r="D3" i="7" s="1"/>
  <c r="D15" i="8" s="1"/>
  <c r="B4" i="4" a="1"/>
  <c r="B4" i="4" s="1"/>
  <c r="F4" i="7" s="1"/>
  <c r="D4" i="7" s="1"/>
  <c r="D16" i="8" s="1"/>
  <c r="B5" i="4" a="1"/>
  <c r="B5" i="4" s="1"/>
  <c r="F5" i="7" s="1"/>
  <c r="D5" i="7" s="1"/>
  <c r="D17" i="8" s="1"/>
  <c r="B2" i="8"/>
  <c r="B2" i="4" a="1"/>
  <c r="B2" i="4" s="1"/>
  <c r="F2" i="7" s="1"/>
  <c r="D2" i="7" s="1"/>
  <c r="D14" i="8" s="1"/>
  <c r="E8" i="8"/>
  <c r="I2" i="9"/>
  <c r="B9" i="8"/>
  <c r="D9" i="8" s="1"/>
  <c r="B3" i="5"/>
  <c r="B22" i="8" s="1"/>
  <c r="E22" i="8" s="1"/>
  <c r="E4" i="7"/>
  <c r="C4" i="7"/>
  <c r="E9" i="8" l="1"/>
  <c r="J2" i="9"/>
  <c r="B4" i="5"/>
  <c r="E4" i="5" s="1" a="1"/>
  <c r="E4" i="5" s="1"/>
  <c r="E5" i="5" s="1"/>
  <c r="C3" i="5" l="1"/>
  <c r="N2" i="9" s="1"/>
  <c r="C4" i="5"/>
  <c r="O2" i="9" s="1"/>
  <c r="C5" i="5"/>
  <c r="P2" i="9" s="1"/>
  <c r="C2" i="5"/>
  <c r="M2" i="9" s="1"/>
  <c r="B6" i="5"/>
  <c r="B23" i="8"/>
  <c r="E23" i="8" s="1"/>
  <c r="C6" i="5" l="1"/>
  <c r="B14" i="8"/>
  <c r="C21" i="8"/>
  <c r="C24" i="8"/>
  <c r="B17" i="8"/>
  <c r="B16" i="8"/>
  <c r="C23" i="8"/>
  <c r="B15" i="8"/>
  <c r="C22" i="8"/>
  <c r="F24" i="8"/>
  <c r="F21" i="8"/>
  <c r="F23" i="8"/>
  <c r="F22" i="8"/>
  <c r="B25" i="8"/>
  <c r="C15" i="8" l="1"/>
  <c r="C16" i="8"/>
  <c r="C14" i="8"/>
  <c r="C17" i="8"/>
  <c r="E2" i="8"/>
  <c r="L2" i="9"/>
  <c r="L3" i="8" s="1" a="1"/>
  <c r="L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<sst xmlns="http://schemas.openxmlformats.org/spreadsheetml/2006/main" count="194" uniqueCount="151">
  <si>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</si>
  <si>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</si>
  <si>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</si>
  <si>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</si>
  <si>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</si>
  <si>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</si>
  <si>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</si>
  <si>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</si>
  <si>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</si>
  <si>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</si>
  <si>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</si>
  <si>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</si>
  <si>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</si>
  <si>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</si>
  <si>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</si>
  <si>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</si>
  <si>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</si>
  <si>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</si>
  <si>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</si>
  <si>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</si>
  <si>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</si>
  <si>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</si>
  <si>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</si>
  <si>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</si>
  <si>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</si>
  <si>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</si>
  <si>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</si>
  <si>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</si>
  <si>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</si>
  <si>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</si>
  <si>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</si>
  <si>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</si>
  <si>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</si>
  <si>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</si>
  <si>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</si>
  <si>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</si>
  <si>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</si>
  <si>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</si>
  <si>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</si>
  <si>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</si>
  <si>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</si>
  <si>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</si>
  <si>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</si>
  <si>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</si>
  <si>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</si>
  <si>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</si>
  <si>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</si>
  <si>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</si>
  <si>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</si>
  <si>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</si>
  <si>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</si>
  <si>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</si>
  <si>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</si>
  <si>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</si>
  <si>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</si>
  <si>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</si>
  <si>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</si>
  <si>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</si>
  <si>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</si>
  <si>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</si>
  <si>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</si>
  <si>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</si>
  <si>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</si>
  <si>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</si>
  <si>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</si>
  <si>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</si>
  <si>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</si>
  <si>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</si>
  <si>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</si>
  <si>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</si>
  <si>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Mid 80s Golfer</t>
  </si>
  <si>
    <t>Current Tier</t>
  </si>
  <si>
    <t>Target Tier</t>
  </si>
  <si>
    <t>You</t>
  </si>
  <si>
    <t>Target</t>
  </si>
  <si>
    <t>Strokes Needed</t>
  </si>
  <si>
    <t>Strokes</t>
  </si>
  <si>
    <t>Priority</t>
  </si>
  <si>
    <t>How close am I to the golfer I want to become?”</t>
  </si>
  <si>
    <t>How many strokes per round am I losing or gaining vs my target tier?”
It must obey two rules:
0 = you are exactly target level
Negative = you are worse than target
Positive = you are better than target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</si>
  <si>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</si>
  <si>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</si>
  <si>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</si>
  <si>
    <t>Slope</t>
  </si>
  <si>
    <t>Representative_HCP</t>
  </si>
  <si>
    <t>Target Tier Rep HCP</t>
  </si>
  <si>
    <t>Curent Tier Rep HCP</t>
  </si>
  <si>
    <t>Tier gap (strokes)</t>
  </si>
  <si>
    <t>Raw Total</t>
  </si>
  <si>
    <t>Scale Factor</t>
  </si>
  <si>
    <t>what handicap does my current tier represent</t>
  </si>
  <si>
    <t>what handicap does my target tier represent?</t>
  </si>
  <si>
    <t>how many strokes should this tier jump represent?</t>
  </si>
  <si>
    <t>how big are my current raw category leaks (total)?</t>
  </si>
  <si>
    <t>Raw skill gap strokes (Internal)</t>
  </si>
  <si>
    <t>Strokes need (calibrated to tier goal) Golfer View</t>
  </si>
  <si>
    <t>Driving impact: “+1% Fairways = ___ strokes toward goal”</t>
  </si>
  <si>
    <r>
      <t xml:space="preserve">Approach impact: </t>
    </r>
    <r>
      <rPr>
        <b/>
        <sz val="12"/>
        <color theme="1"/>
        <rFont val="Aptos Narrow"/>
        <family val="2"/>
        <scheme val="minor"/>
      </rPr>
      <t>“+1% GIR = ___ strokes toward goal”</t>
    </r>
  </si>
  <si>
    <r>
      <t xml:space="preserve">Putting impact: </t>
    </r>
    <r>
      <rPr>
        <b/>
        <sz val="12"/>
        <color theme="1"/>
        <rFont val="Aptos Narrow"/>
        <family val="2"/>
        <scheme val="minor"/>
      </rPr>
      <t>“−0.1 Putts/GIR = ___ strokes toward goal”</t>
    </r>
  </si>
  <si>
    <r>
      <t xml:space="preserve">Short game impact: </t>
    </r>
    <r>
      <rPr>
        <b/>
        <sz val="12"/>
        <color theme="1"/>
        <rFont val="Aptos Narrow"/>
        <family val="2"/>
        <scheme val="minor"/>
      </rPr>
      <t>“+1% Scramble = ___ strokes toward goal”</t>
    </r>
  </si>
  <si>
    <t>If the golfer still has a gap to target, we divide strokes needed in that category by how many units of stat improvement remain.
If they’re already at/above target in that stat, impact shows 0 (no need to improve that category for the goal).</t>
  </si>
  <si>
    <t>TrueStrokes Report</t>
  </si>
  <si>
    <t xml:space="preserve">Strokes Needed To Reach Target </t>
  </si>
  <si>
    <t>Gap</t>
  </si>
  <si>
    <t>To Target</t>
  </si>
  <si>
    <t>Share</t>
  </si>
  <si>
    <t xml:space="preserve">Priority </t>
  </si>
  <si>
    <t>Lever</t>
  </si>
  <si>
    <t>1-Unit Improvement</t>
  </si>
  <si>
    <t>Strokes Toward Goal</t>
  </si>
  <si>
    <t>Differential</t>
  </si>
  <si>
    <t>Est Handicap Index</t>
  </si>
  <si>
    <t>Diff_Calc</t>
  </si>
  <si>
    <t>Best1</t>
  </si>
  <si>
    <t>Best2</t>
  </si>
  <si>
    <t>Best3</t>
  </si>
  <si>
    <t>Best4</t>
  </si>
  <si>
    <t>Best5</t>
  </si>
  <si>
    <t>Best6</t>
  </si>
  <si>
    <t>Best7</t>
  </si>
  <si>
    <t>Best8</t>
  </si>
  <si>
    <t>Current Tier (Override)</t>
  </si>
  <si>
    <t>Current Tier (Auto)</t>
  </si>
  <si>
    <t>Current Tier (Active)</t>
  </si>
  <si>
    <t>LogDate</t>
  </si>
  <si>
    <t>Est_HCP</t>
  </si>
  <si>
    <t>FW%</t>
  </si>
  <si>
    <t>Putts/GIR</t>
  </si>
  <si>
    <t>Scramble%</t>
  </si>
  <si>
    <t>ToTarget_FW</t>
  </si>
  <si>
    <t>ToTarget_GIR</t>
  </si>
  <si>
    <t>ToTarget_Putts</t>
  </si>
  <si>
    <t>ToTarget_Scramble</t>
  </si>
  <si>
    <t>StrokesNeeded_Total</t>
  </si>
  <si>
    <t>Strokes_Driving</t>
  </si>
  <si>
    <t>Strokes_Approach</t>
  </si>
  <si>
    <t>Strokes_Putting</t>
  </si>
  <si>
    <t>Strokes_ShortGame</t>
  </si>
  <si>
    <t>Trends</t>
  </si>
  <si>
    <t>Handicap Trend</t>
  </si>
  <si>
    <t>Strokes Needed Trend</t>
  </si>
  <si>
    <t>Δ Handicap</t>
  </si>
  <si>
    <t>Δ Strokes Needed</t>
  </si>
  <si>
    <t>Δ FW%</t>
  </si>
  <si>
    <t>Δ GIR%</t>
  </si>
  <si>
    <t>Δ Putts/GIR</t>
  </si>
  <si>
    <t>Δ Scramble%</t>
  </si>
  <si>
    <t>After entering a round → Progress_Log: copy row 2 → paste values to next row.</t>
  </si>
  <si>
    <t>Tier (current then target)</t>
  </si>
  <si>
    <t>Source/Notes</t>
  </si>
  <si>
    <t>Baselines derived from Break X Golf analysis (3,788 rounds, 2025), validated against Arccos Golf data (750M+ shots), TheGrint, and SwingU databases. Updated Jan 2026 to reflect real-world amateur performance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</si>
</sst>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&quot;%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5" fillId="0" borderId="0" xfId="0" applyFont="1"/>
    <xf numFmtId="166" fontId="0" fillId="0" borderId="0" xfId="0" applyNumberFormat="1"/>
    <xf numFmtId="14" fontId="0" fillId="0" borderId="0" xfId="0" applyNumberForma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165" formatCode="0.0"/>
    </dxf>
    <dxf>
      <numFmt numFmtId="0" formatCode="General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Handicap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05768174327046E-2"/>
          <c:y val="0.15077235772357725"/>
          <c:w val="0.69180022937769248"/>
          <c:h val="0.66226265924076566"/>
        </c:manualLayout>
      </c:layout>
      <c:lineChart>
        <c:grouping val="standard"/>
        <c:varyColors val="0"/>
        <c:ser>
          <c:idx val="2"/>
          <c:order val="0"/>
          <c:tx>
            <c:strRef>
              <c:f>Progress_Log!$C$1</c:f>
              <c:strCache>
                <c:ptCount val="1"/>
                <c:pt idx="0">
                  <c:v>Est_HCP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Progress_Log!$C$2:$C$18</c:f>
              <c:numCache>
                <c:formatCode>0.0</c:formatCode>
                <c:ptCount val="17"/>
                <c:pt idx="0">
                  <c:v>12.204935190110961</c:v>
                </c:pt>
                <c:pt idx="1">
                  <c:v>20.169658070121834</c:v>
                </c:pt>
                <c:pt idx="2">
                  <c:v>18.487610545568636</c:v>
                </c:pt>
                <c:pt idx="3">
                  <c:v>15.20191418290873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1-9B4E-9F3B-20BAB1BC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57695"/>
        <c:axId val="964553215"/>
      </c:lineChart>
      <c:catAx>
        <c:axId val="96455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3215"/>
        <c:crosses val="autoZero"/>
        <c:auto val="1"/>
        <c:lblAlgn val="ctr"/>
        <c:lblOffset val="100"/>
        <c:noMultiLvlLbl val="0"/>
      </c:catAx>
      <c:valAx>
        <c:axId val="964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Strokes Needed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Progress_Log!$L$1</c:f>
              <c:strCache>
                <c:ptCount val="1"/>
                <c:pt idx="0">
                  <c:v>StrokesNeeded_Total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Progress_Log!$L$2:$L$18</c:f>
              <c:numCache>
                <c:formatCode>0.0</c:formatCode>
                <c:ptCount val="17"/>
                <c:pt idx="0">
                  <c:v>9</c:v>
                </c:pt>
                <c:pt idx="1">
                  <c:v>15.5</c:v>
                </c:pt>
                <c:pt idx="2">
                  <c:v>15.5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D1-DD40-89D0-DADAD116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267775"/>
        <c:axId val="983176895"/>
      </c:lineChart>
      <c:catAx>
        <c:axId val="98326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6895"/>
        <c:crosses val="autoZero"/>
        <c:auto val="1"/>
        <c:lblAlgn val="ctr"/>
        <c:lblOffset val="100"/>
        <c:noMultiLvlLbl val="0"/>
      </c:catAx>
      <c:valAx>
        <c:axId val="9831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15</xdr:col>
      <xdr:colOff>647700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1409-C6C3-014D-8995-DD64DC18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635000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5B85-E2FE-B445-A3E6-B17660EE2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Rounds" displayName="Rounds" ref="A1:M8" totalsRowShown="0" dataDxfId="34">
  <autoFilter ref="A1:M8" xr:uid="{298A6EC1-994A-FC47-82BF-78CD8801767E}"/>
  <tableColumns count="13">
    <tableColumn id="1" xr3:uid="{7D2B9724-3136-CE4D-AA55-5231B4071BE2}" name="Round" dataDxfId="33"/>
    <tableColumn id="2" xr3:uid="{66B2AA62-57E4-0C43-B106-C77AAE260B04}" name="Score" dataDxfId="32"/>
    <tableColumn id="3" xr3:uid="{48F4F05C-1B49-D94A-B9AA-FE74521C4704}" name="Par" dataDxfId="31"/>
    <tableColumn id="4" xr3:uid="{3FAB117E-8F3A-7E44-9B82-17A578639159}" name="Rating" dataDxfId="30"/>
    <tableColumn id="5" xr3:uid="{AD98EBA3-B44B-8949-A365-BCDB58F4C8C4}" name="Par3s" dataDxfId="29"/>
    <tableColumn id="6" xr3:uid="{6C8D8650-9160-394C-BDB7-F890C6A17F18}" name="Driving_Holes" dataDxfId="28">
      <calculatedColumnFormula>18-Rounds[[#This Row],[Par3s]]</calculatedColumnFormula>
    </tableColumn>
    <tableColumn id="7" xr3:uid="{C3682F10-3F82-6C4B-B1C4-80E3F4892C87}" name="Fairways" dataDxfId="27"/>
    <tableColumn id="8" xr3:uid="{23F3678E-8E7E-0847-B1CF-AF33C23A3EFF}" name="Greens" dataDxfId="26"/>
    <tableColumn id="9" xr3:uid="{24934948-01A5-F047-B95B-146154B77876}" name="Putts per GIR" dataDxfId="25"/>
    <tableColumn id="10" xr3:uid="{0AE0E9A8-5A8E-C745-9631-01FE660CF66C}" name="Scrambles" dataDxfId="24"/>
    <tableColumn id="11" xr3:uid="{29C8BE5E-579D-214F-9101-A82FF19347DC}" name="Slope" dataDxfId="23"/>
    <tableColumn id="12" xr3:uid="{99FE5503-BD0D-DE43-8289-E8FFEDAC8352}" name="Differential" dataDxfId="22">
      <calculatedColumnFormula>(113/Rounds[[#This Row],[Slope]]) * (Rounds[[#This Row],[Score]] - Rounds[[#This Row],[Rating]])</calculatedColumnFormula>
    </tableColumn>
    <tableColumn id="13" xr3:uid="{DCD102F6-6DF0-5E4E-9BA7-DFC66650D4BA}" name="Diff_Calc" dataDxfId="21">
      <calculatedColumnFormula>IF(Rounds[[#This Row],[Differential]]="",999,Rounds[[#This Row],[Differential]])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2796-E568-9946-BBAF-17213487C962}" name="Log" displayName="Log" ref="A1:P2" totalsRowShown="0" headerRowDxfId="20">
  <autoFilter ref="A1:P2" xr:uid="{47C02796-E568-9946-BBAF-17213487C962}"/>
  <tableColumns count="16">
    <tableColumn id="1" xr3:uid="{CC1036FD-430C-814D-B7C2-688439463584}" name="LogDate" dataDxfId="19">
      <calculatedColumnFormula>TODAY()</calculatedColumnFormula>
    </tableColumn>
    <tableColumn id="2" xr3:uid="{EDF587C4-05F8-2947-AD1D-E1E3EADA1873}" name="Rounds" dataDxfId="18">
      <calculatedColumnFormula>Normalized_Averages!B10</calculatedColumnFormula>
    </tableColumn>
    <tableColumn id="3" xr3:uid="{19FD601A-8E93-8142-B86F-4CC6A246479A}" name="Est_HCP" dataDxfId="17">
      <calculatedColumnFormula>Normalized_Averages!B12</calculatedColumnFormula>
    </tableColumn>
    <tableColumn id="4" xr3:uid="{8ABB7621-6F12-2842-B246-9087F3F10E64}" name="FW%" dataDxfId="16" dataCellStyle="Percent">
      <calculatedColumnFormula>Normalized_Averages!B2</calculatedColumnFormula>
    </tableColumn>
    <tableColumn id="5" xr3:uid="{318FADB6-D4BE-5E44-96B7-22EF2E79EB6F}" name="GIR%" dataDxfId="15" dataCellStyle="Percent">
      <calculatedColumnFormula>Normalized_Averages!B3</calculatedColumnFormula>
    </tableColumn>
    <tableColumn id="6" xr3:uid="{D59C3F28-9960-6149-8996-0BC4C2DCA66F}" name="Putts/GIR" dataDxfId="14">
      <calculatedColumnFormula>Normalized_Averages!B4</calculatedColumnFormula>
    </tableColumn>
    <tableColumn id="7" xr3:uid="{FF314426-1264-114B-823B-180A9553381A}" name="Scramble%" dataDxfId="13" dataCellStyle="Percent">
      <calculatedColumnFormula>Normalized_Averages!B5</calculatedColumnFormula>
    </tableColumn>
    <tableColumn id="8" xr3:uid="{DE2C0C91-9CF3-AC43-8EE1-DE75F881AB60}" name="ToTarget_FW" dataDxfId="12">
      <calculatedColumnFormula>Percentiles!C2</calculatedColumnFormula>
    </tableColumn>
    <tableColumn id="9" xr3:uid="{72923FDC-F27C-D84E-9F18-C51FE07CC00E}" name="ToTarget_GIR" dataDxfId="11">
      <calculatedColumnFormula>Percentiles!C3</calculatedColumnFormula>
    </tableColumn>
    <tableColumn id="10" xr3:uid="{BF808AC5-6CF4-684E-B049-6C33B7AA48E2}" name="ToTarget_Putts" dataDxfId="10">
      <calculatedColumnFormula>Percentiles!C4</calculatedColumnFormula>
    </tableColumn>
    <tableColumn id="11" xr3:uid="{CCAF6728-12BC-B04B-8495-40E9B57C932E}" name="ToTarget_Scramble" dataDxfId="9">
      <calculatedColumnFormula>Percentiles!C5</calculatedColumnFormula>
    </tableColumn>
    <tableColumn id="12" xr3:uid="{B1CD5A8F-FBCC-7541-8D27-E0CBBA946020}" name="StrokesNeeded_Total" dataDxfId="8">
      <calculatedColumnFormula>Strokes_Gained!C6</calculatedColumnFormula>
    </tableColumn>
    <tableColumn id="13" xr3:uid="{779EA6A2-0FDF-0444-878F-3CE772721E9B}" name="Strokes_Driving" dataDxfId="7">
      <calculatedColumnFormula>Strokes_Gained!C2</calculatedColumnFormula>
    </tableColumn>
    <tableColumn id="14" xr3:uid="{57DC62BE-8811-3E49-8B28-1A95FCA0A437}" name="Strokes_Approach" dataDxfId="6">
      <calculatedColumnFormula>Strokes_Gained!C3</calculatedColumnFormula>
    </tableColumn>
    <tableColumn id="15" xr3:uid="{88787B0B-A2EA-0645-BA49-4D3D08B9FB24}" name="Strokes_Putting" dataDxfId="5">
      <calculatedColumnFormula>Strokes_Gained!C4</calculatedColumnFormula>
    </tableColumn>
    <tableColumn id="16" xr3:uid="{A3D57CD0-3155-B34A-94D6-18A981C58FB6}" name="Strokes_ShortGame" dataDxfId="4">
      <calculatedColumnFormula>Strokes_Gained!C5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M47"/>
  <sheetViews>
    <sheetView zoomScale="90" zoomScaleNormal="90" workbookViewId="0">
      <selection activeCell="K9" sqref="K9"/>
    </sheetView>
  </sheetViews>
  <sheetFormatPr baseColWidth="10" defaultRowHeight="16" x14ac:dyDescent="0.2"/>
  <cols>
    <col min="1" max="1" width="9.6640625" bestFit="1" customWidth="1"/>
    <col min="2" max="5" width="13.6640625" customWidth="1"/>
    <col min="6" max="6" width="15" customWidth="1"/>
    <col min="7" max="8" width="13.6640625" customWidth="1"/>
    <col min="9" max="9" width="14.5" bestFit="1" customWidth="1"/>
    <col min="10" max="10" width="13.6640625" customWidth="1"/>
    <col min="12" max="12" width="13.83203125" bestFit="1" customWidth="1"/>
    <col min="13" max="13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8</v>
      </c>
      <c r="K1" t="s">
        <v>83</v>
      </c>
      <c r="L1" t="s">
        <v>110</v>
      </c>
      <c r="M1" t="s">
        <v>112</v>
      </c>
    </row>
    <row r="2" spans="1:13" x14ac:dyDescent="0.2">
      <c r="A2" s="9">
        <v>1</v>
      </c>
      <c r="B2" s="9">
        <v>85</v>
      </c>
      <c r="C2" s="9">
        <v>72</v>
      </c>
      <c r="D2" s="4">
        <v>71.5</v>
      </c>
      <c r="E2" s="9">
        <v>4</v>
      </c>
      <c r="F2" s="9">
        <f>18-Rounds[[#This Row],[Par3s]]</f>
        <v>14</v>
      </c>
      <c r="G2" s="9">
        <v>7</v>
      </c>
      <c r="H2" s="9">
        <v>5</v>
      </c>
      <c r="I2" s="9">
        <v>11</v>
      </c>
      <c r="J2" s="9">
        <v>2</v>
      </c>
      <c r="K2" s="9">
        <v>128</v>
      </c>
      <c r="L2" s="9">
        <f>(113/Rounds[[#This Row],[Slope]]) * (Rounds[[#This Row],[Score]] - Rounds[[#This Row],[Rating]])</f>
        <v>11.91796875</v>
      </c>
      <c r="M2" s="4">
        <f>IF(Rounds[[#This Row],[Differential]]="",999,Rounds[[#This Row],[Differential]])</f>
        <v>11.91796875</v>
      </c>
    </row>
    <row r="3" spans="1:13" x14ac:dyDescent="0.2">
      <c r="A3" s="9">
        <v>2</v>
      </c>
      <c r="B3" s="9">
        <v>83</v>
      </c>
      <c r="C3" s="9">
        <v>72</v>
      </c>
      <c r="D3" s="8">
        <v>71.2</v>
      </c>
      <c r="E3" s="9">
        <v>4</v>
      </c>
      <c r="F3" s="9">
        <f>18-Rounds[[#This Row],[Par3s]]</f>
        <v>14</v>
      </c>
      <c r="G3" s="9">
        <v>7</v>
      </c>
      <c r="H3" s="9">
        <v>5</v>
      </c>
      <c r="I3" s="9">
        <v>10</v>
      </c>
      <c r="J3" s="9">
        <v>2</v>
      </c>
      <c r="K3" s="9">
        <v>126</v>
      </c>
      <c r="L3" s="9">
        <f>(113/Rounds[[#This Row],[Slope]]) * (Rounds[[#This Row],[Score]] - Rounds[[#This Row],[Rating]])</f>
        <v>10.58253968253968</v>
      </c>
      <c r="M3" s="4">
        <f>IF(Rounds[[#This Row],[Differential]]="",999,Rounds[[#This Row],[Differential]])</f>
        <v>10.58253968253968</v>
      </c>
    </row>
    <row r="4" spans="1:13" x14ac:dyDescent="0.2">
      <c r="A4" s="9">
        <v>3</v>
      </c>
      <c r="B4" s="9">
        <v>87</v>
      </c>
      <c r="C4" s="9">
        <v>72</v>
      </c>
      <c r="D4" s="4">
        <v>71.8</v>
      </c>
      <c r="E4" s="9">
        <v>4</v>
      </c>
      <c r="F4" s="9">
        <f>18-Rounds[[#This Row],[Par3s]]</f>
        <v>14</v>
      </c>
      <c r="G4" s="9">
        <v>6</v>
      </c>
      <c r="H4" s="9">
        <v>4</v>
      </c>
      <c r="I4" s="9">
        <v>9</v>
      </c>
      <c r="J4" s="9">
        <v>1</v>
      </c>
      <c r="K4" s="9">
        <v>130</v>
      </c>
      <c r="L4" s="9">
        <f>(113/Rounds[[#This Row],[Slope]]) * (Rounds[[#This Row],[Score]] - Rounds[[#This Row],[Rating]])</f>
        <v>13.212307692307695</v>
      </c>
      <c r="M4" s="4">
        <f>IF(Rounds[[#This Row],[Differential]]="",999,Rounds[[#This Row],[Differential]])</f>
        <v>13.212307692307695</v>
      </c>
    </row>
    <row r="5" spans="1:13" x14ac:dyDescent="0.2">
      <c r="A5" s="9">
        <v>4</v>
      </c>
      <c r="B5" s="9">
        <v>84</v>
      </c>
      <c r="C5" s="9">
        <v>72</v>
      </c>
      <c r="D5" s="4">
        <v>71.3</v>
      </c>
      <c r="E5" s="9">
        <v>4</v>
      </c>
      <c r="F5" s="9">
        <f>18-Rounds[[#This Row],[Par3s]]</f>
        <v>14</v>
      </c>
      <c r="G5" s="9">
        <v>7</v>
      </c>
      <c r="H5" s="9">
        <v>5</v>
      </c>
      <c r="I5" s="9">
        <v>11</v>
      </c>
      <c r="J5" s="9">
        <v>2</v>
      </c>
      <c r="K5" s="9">
        <v>127</v>
      </c>
      <c r="L5" s="9">
        <f>(113/Rounds[[#This Row],[Slope]]) * (Rounds[[#This Row],[Score]] - Rounds[[#This Row],[Rating]])</f>
        <v>11.300000000000002</v>
      </c>
      <c r="M5" s="4">
        <f>IF(Rounds[[#This Row],[Differential]]="",999,Rounds[[#This Row],[Differential]])</f>
        <v>11.300000000000002</v>
      </c>
    </row>
    <row r="6" spans="1:13" x14ac:dyDescent="0.2">
      <c r="A6" s="9">
        <v>5</v>
      </c>
      <c r="B6" s="9">
        <v>86</v>
      </c>
      <c r="C6" s="9">
        <v>72</v>
      </c>
      <c r="D6" s="4">
        <v>71.599999999999994</v>
      </c>
      <c r="E6" s="9">
        <v>4</v>
      </c>
      <c r="F6" s="9">
        <f>18-Rounds[[#This Row],[Par3s]]</f>
        <v>14</v>
      </c>
      <c r="G6" s="9">
        <v>6</v>
      </c>
      <c r="H6" s="9">
        <v>4</v>
      </c>
      <c r="I6" s="9">
        <v>9</v>
      </c>
      <c r="J6" s="9">
        <v>2</v>
      </c>
      <c r="K6" s="9">
        <v>129</v>
      </c>
      <c r="L6" s="9">
        <f>(113/Rounds[[#This Row],[Slope]]) * (Rounds[[#This Row],[Score]] - Rounds[[#This Row],[Rating]])</f>
        <v>12.613953488372099</v>
      </c>
      <c r="M6" s="4">
        <f>IF(Rounds[[#This Row],[Differential]]="",999,Rounds[[#This Row],[Differential]])</f>
        <v>12.613953488372099</v>
      </c>
    </row>
    <row r="7" spans="1:13" x14ac:dyDescent="0.2">
      <c r="A7" s="9">
        <v>6</v>
      </c>
      <c r="B7" s="9">
        <v>88</v>
      </c>
      <c r="C7" s="9">
        <v>72</v>
      </c>
      <c r="D7" s="4">
        <v>72</v>
      </c>
      <c r="E7" s="9">
        <v>4</v>
      </c>
      <c r="F7" s="9">
        <f>18-Rounds[[#This Row],[Par3s]]</f>
        <v>14</v>
      </c>
      <c r="G7" s="9">
        <v>6</v>
      </c>
      <c r="H7" s="9">
        <v>4</v>
      </c>
      <c r="I7" s="9">
        <v>9</v>
      </c>
      <c r="J7" s="9">
        <v>1</v>
      </c>
      <c r="K7" s="9">
        <v>131</v>
      </c>
      <c r="L7" s="9">
        <f>(113/Rounds[[#This Row],[Slope]]) * (Rounds[[#This Row],[Score]] - Rounds[[#This Row],[Rating]])</f>
        <v>13.801526717557252</v>
      </c>
      <c r="M7" s="4">
        <f>IF(Rounds[[#This Row],[Differential]]="",999,Rounds[[#This Row],[Differential]])</f>
        <v>13.801526717557252</v>
      </c>
    </row>
    <row r="8" spans="1:13" x14ac:dyDescent="0.2">
      <c r="A8" s="9">
        <v>7</v>
      </c>
      <c r="B8" s="9">
        <v>85</v>
      </c>
      <c r="C8" s="9">
        <v>72</v>
      </c>
      <c r="D8" s="4">
        <v>71.400000000000006</v>
      </c>
      <c r="E8" s="9">
        <v>4</v>
      </c>
      <c r="F8" s="9">
        <f>18-Rounds[[#This Row],[Par3s]]</f>
        <v>14</v>
      </c>
      <c r="G8" s="9">
        <v>7</v>
      </c>
      <c r="H8" s="9">
        <v>5</v>
      </c>
      <c r="I8" s="9">
        <v>11</v>
      </c>
      <c r="J8" s="9">
        <v>2</v>
      </c>
      <c r="K8" s="9">
        <v>128</v>
      </c>
      <c r="L8" s="9">
        <f>(113/Rounds[[#This Row],[Slope]]) * (Rounds[[#This Row],[Score]] - Rounds[[#This Row],[Rating]])</f>
        <v>12.006249999999994</v>
      </c>
      <c r="M8" s="4">
        <f>IF(Rounds[[#This Row],[Differential]]="",999,Rounds[[#This Row],[Differential]])</f>
        <v>12.006249999999994</v>
      </c>
    </row>
    <row r="9" spans="1:13" x14ac:dyDescent="0.2">
      <c r="M9" s="4"/>
    </row>
    <row r="10" spans="1:13" x14ac:dyDescent="0.2">
      <c r="M10" s="4"/>
    </row>
    <row r="11" spans="1:13" x14ac:dyDescent="0.2">
      <c r="M11" s="4"/>
    </row>
    <row r="12" spans="1:13" x14ac:dyDescent="0.2">
      <c r="M12" s="4"/>
    </row>
    <row r="13" spans="1:13" x14ac:dyDescent="0.2">
      <c r="M13" s="4"/>
    </row>
    <row r="14" spans="1:13" x14ac:dyDescent="0.2">
      <c r="M14" s="4"/>
    </row>
    <row r="15" spans="1:13" x14ac:dyDescent="0.2">
      <c r="M15" s="4"/>
    </row>
    <row r="16" spans="1:13" x14ac:dyDescent="0.2">
      <c r="M16" s="4"/>
    </row>
    <row r="17" spans="13:13" x14ac:dyDescent="0.2">
      <c r="M17" s="4"/>
    </row>
    <row r="18" spans="13:13" x14ac:dyDescent="0.2">
      <c r="M18" s="4"/>
    </row>
    <row r="19" spans="13:13" x14ac:dyDescent="0.2">
      <c r="M19" s="4"/>
    </row>
    <row r="20" spans="13:13" x14ac:dyDescent="0.2">
      <c r="M20" s="4"/>
    </row>
    <row r="21" spans="13:13" x14ac:dyDescent="0.2">
      <c r="M21" s="4"/>
    </row>
    <row r="22" spans="13:13" x14ac:dyDescent="0.2">
      <c r="M22" s="4"/>
    </row>
    <row r="23" spans="13:13" x14ac:dyDescent="0.2">
      <c r="M23" s="4"/>
    </row>
    <row r="24" spans="13:13" x14ac:dyDescent="0.2">
      <c r="M24" s="4"/>
    </row>
    <row r="25" spans="13:13" x14ac:dyDescent="0.2">
      <c r="M25" s="4"/>
    </row>
    <row r="26" spans="13:13" x14ac:dyDescent="0.2">
      <c r="M26" s="4"/>
    </row>
    <row r="27" spans="13:13" x14ac:dyDescent="0.2">
      <c r="M27" s="4"/>
    </row>
    <row r="28" spans="13:13" x14ac:dyDescent="0.2">
      <c r="M28" s="4"/>
    </row>
    <row r="29" spans="13:13" x14ac:dyDescent="0.2">
      <c r="M29" s="4"/>
    </row>
    <row r="30" spans="13:13" x14ac:dyDescent="0.2">
      <c r="M30" s="4"/>
    </row>
    <row r="31" spans="13:13" x14ac:dyDescent="0.2">
      <c r="M31" s="4"/>
    </row>
    <row r="32" spans="13:13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</sheetData>
  <dataValidations count="4">
    <dataValidation type="custom" allowBlank="1" showInputMessage="1" showErrorMessage="1" sqref="H2:H8" xr:uid="{065A9D5F-9A43-764D-9165-E17E84ACA5D2}">
      <formula1>H2&lt;=18</formula1>
    </dataValidation>
    <dataValidation type="whole" allowBlank="1" showInputMessage="1" showErrorMessage="1" sqref="E2:E8" xr:uid="{8C0886F5-C558-A24F-83F1-ED71428B587D}">
      <formula1>3</formula1>
      <formula2>6</formula2>
    </dataValidation>
    <dataValidation type="custom" allowBlank="1" showInputMessage="1" showErrorMessage="1" sqref="G2:G8" xr:uid="{37D87E5B-946E-2740-BA3E-66794714AF92}">
      <formula1>G2&lt;=F2</formula1>
    </dataValidation>
    <dataValidation type="custom" allowBlank="1" showInputMessage="1" showErrorMessage="1" sqref="J2:J8" xr:uid="{EAF37D76-A67C-444F-A94D-808C2BE2A42A}">
      <formula1>J2&lt;=(18-H2)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20"/>
  <sheetViews>
    <sheetView workbookViewId="0">
      <selection activeCell="B2" sqref="B2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52</v>
      </c>
      <c r="C1" t="s">
        <v>37</v>
      </c>
      <c r="D1" t="s">
        <v>53</v>
      </c>
    </row>
    <row r="2" spans="1:4" x14ac:dyDescent="0.2">
      <c r="A2" t="s">
        <v>38</v>
      </c>
      <c r="B2" s="2">
        <f>SUM(Golfer_Input!G:G) / B7</f>
        <v>0.46938775510204084</v>
      </c>
      <c r="C2" t="s">
        <v>44</v>
      </c>
      <c r="D2" t="s">
        <v>54</v>
      </c>
    </row>
    <row r="3" spans="1:4" x14ac:dyDescent="0.2">
      <c r="A3" t="s">
        <v>33</v>
      </c>
      <c r="B3" s="2">
        <f>B8 / (B10*18)</f>
        <v>0.25396825396825395</v>
      </c>
      <c r="C3" t="s">
        <v>44</v>
      </c>
      <c r="D3" t="s">
        <v>55</v>
      </c>
    </row>
    <row r="4" spans="1:4" x14ac:dyDescent="0.2">
      <c r="A4" t="s">
        <v>34</v>
      </c>
      <c r="B4" s="14">
        <f>SUM(Golfer_Input!I:I) / B8</f>
        <v>2.1875</v>
      </c>
      <c r="C4" t="s">
        <v>45</v>
      </c>
      <c r="D4" t="s">
        <v>56</v>
      </c>
    </row>
    <row r="5" spans="1:4" x14ac:dyDescent="0.2">
      <c r="A5" t="s">
        <v>35</v>
      </c>
      <c r="B5" s="2">
        <f>SUM(Golfer_Input!J:J) / B9</f>
        <v>0.1276595744680851</v>
      </c>
      <c r="C5" t="s">
        <v>44</v>
      </c>
      <c r="D5" t="s">
        <v>57</v>
      </c>
    </row>
    <row r="6" spans="1:4" x14ac:dyDescent="0.2">
      <c r="A6" t="s">
        <v>39</v>
      </c>
      <c r="B6">
        <f>AVERAGE(Golfer_Input!E:E)</f>
        <v>4</v>
      </c>
      <c r="C6" t="s">
        <v>46</v>
      </c>
      <c r="D6" t="s">
        <v>61</v>
      </c>
    </row>
    <row r="7" spans="1:4" x14ac:dyDescent="0.2">
      <c r="A7" t="s">
        <v>40</v>
      </c>
      <c r="B7">
        <f>SUM(Golfer_Input!F:F)</f>
        <v>98</v>
      </c>
      <c r="C7" t="s">
        <v>46</v>
      </c>
      <c r="D7" t="s">
        <v>58</v>
      </c>
    </row>
    <row r="8" spans="1:4" x14ac:dyDescent="0.2">
      <c r="A8" t="s">
        <v>41</v>
      </c>
      <c r="B8">
        <f>SUM(Golfer_Input!H:H)</f>
        <v>32</v>
      </c>
      <c r="C8" t="s">
        <v>46</v>
      </c>
      <c r="D8" t="s">
        <v>60</v>
      </c>
    </row>
    <row r="9" spans="1:4" x14ac:dyDescent="0.2">
      <c r="A9" t="s">
        <v>42</v>
      </c>
      <c r="B9">
        <f>(B10*18) - B8</f>
        <v>94</v>
      </c>
      <c r="C9" t="s">
        <v>46</v>
      </c>
      <c r="D9" t="s">
        <v>59</v>
      </c>
    </row>
    <row r="10" spans="1:4" x14ac:dyDescent="0.2">
      <c r="A10" t="s">
        <v>43</v>
      </c>
      <c r="B10">
        <f>COUNT(Golfer_Input!B:B)</f>
        <v>7</v>
      </c>
      <c r="C10" t="s">
        <v>46</v>
      </c>
      <c r="D10" t="s">
        <v>62</v>
      </c>
    </row>
    <row r="12" spans="1:4" x14ac:dyDescent="0.2">
      <c r="A12" t="s">
        <v>111</v>
      </c>
      <c r="B12" s="4">
        <f>IF(COUNT(Rounds[Differential])&lt;3,"",AVERAGE(B13:B20))</f>
        <v>12.204935190110961</v>
      </c>
    </row>
    <row r="13" spans="1:4" x14ac:dyDescent="0.2">
      <c r="A13" t="s">
        <v>113</v>
      </c>
      <c r="B13" s="4">
        <f>IFERROR(_xlfn.AGGREGATE(15,6,Rounds[Diff_Calc],1),"")</f>
        <v>10.58253968253968</v>
      </c>
    </row>
    <row r="14" spans="1:4" x14ac:dyDescent="0.2">
      <c r="A14" t="s">
        <v>114</v>
      </c>
      <c r="B14" s="4">
        <f>IFERROR(_xlfn.AGGREGATE(15,6,Rounds[Diff_Calc],2),"")</f>
        <v>11.300000000000002</v>
      </c>
    </row>
    <row r="15" spans="1:4" x14ac:dyDescent="0.2">
      <c r="A15" t="s">
        <v>115</v>
      </c>
      <c r="B15" s="4">
        <f>IFERROR(_xlfn.AGGREGATE(15,6,Rounds[Diff_Calc],3),"")</f>
        <v>11.91796875</v>
      </c>
    </row>
    <row r="16" spans="1:4" x14ac:dyDescent="0.2">
      <c r="A16" t="s">
        <v>116</v>
      </c>
      <c r="B16" s="4">
        <f>IFERROR(_xlfn.AGGREGATE(15,6,Rounds[Diff_Calc],4),"")</f>
        <v>12.006249999999994</v>
      </c>
    </row>
    <row r="17" spans="1:2" x14ac:dyDescent="0.2">
      <c r="A17" t="s">
        <v>117</v>
      </c>
      <c r="B17" s="4">
        <f>IFERROR(_xlfn.AGGREGATE(15,6,Rounds[Diff_Calc],5),"")</f>
        <v>12.613953488372099</v>
      </c>
    </row>
    <row r="18" spans="1:2" x14ac:dyDescent="0.2">
      <c r="A18" t="s">
        <v>118</v>
      </c>
      <c r="B18" s="4">
        <f>IFERROR(_xlfn.AGGREGATE(15,6,Rounds[Diff_Calc],6),"")</f>
        <v>13.212307692307695</v>
      </c>
    </row>
    <row r="19" spans="1:2" x14ac:dyDescent="0.2">
      <c r="A19" t="s">
        <v>119</v>
      </c>
      <c r="B19" s="4">
        <f>IFERROR(_xlfn.AGGREGATE(15,6,Rounds[Diff_Calc],7),"")</f>
        <v>13.801526717557252</v>
      </c>
    </row>
    <row r="20" spans="1:2" x14ac:dyDescent="0.2">
      <c r="A20" t="s">
        <v>120</v>
      </c>
      <c r="B20" t="str">
        <f>IFERROR(_xlfn.AGGREGATE(15,6,Rounds[Diff_Calc],8),"")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F5" sqref="F5"/>
    </sheetView>
  </sheetViews>
  <sheetFormatPr baseColWidth="10" defaultRowHeight="16" x14ac:dyDescent="0.2"/>
  <cols>
    <col min="1" max="1" width="23.1640625" customWidth="1"/>
    <col min="2" max="7" width="14.83203125" customWidth="1"/>
  </cols>
  <sheetData>
    <row r="1" spans="1:7" x14ac:dyDescent="0.2">
      <c r="A1" t="s">
        <v>36</v>
      </c>
      <c r="B1" t="s">
        <v>52</v>
      </c>
      <c r="C1" t="s">
        <v>64</v>
      </c>
      <c r="D1" t="s">
        <v>65</v>
      </c>
      <c r="E1" t="s">
        <v>66</v>
      </c>
      <c r="F1" t="s">
        <v>31</v>
      </c>
      <c r="G1" t="s">
        <v>30</v>
      </c>
    </row>
    <row r="2" spans="1:7" ht="17" x14ac:dyDescent="0.25">
      <c r="A2" t="s">
        <v>6</v>
      </c>
      <c r="B2" s="2">
        <f>Normalized_Averages!B2</f>
        <v>0.46938775510204084</v>
      </c>
      <c r="C2" s="3">
        <f>MAX(0, MIN(100, 100 * B2 / G2))</f>
        <v>92.036814725890352</v>
      </c>
      <c r="D2" s="3">
        <f>MAX(0, MIN(100, 100 * B2 / F2))</f>
        <v>97.789115646258509</v>
      </c>
      <c r="E2" s="3">
        <f>MAX(0, MIN(100, 100 * B2 / G2))</f>
        <v>92.036814725890352</v>
      </c>
      <c r="F2" s="7">
        <f>Target_Tiers!B2</f>
        <v>0.48</v>
      </c>
      <c r="G2" s="7">
        <f>Target_Tiers!C2</f>
        <v>0.51</v>
      </c>
    </row>
    <row r="3" spans="1:7" ht="17" x14ac:dyDescent="0.25">
      <c r="A3" t="s">
        <v>28</v>
      </c>
      <c r="B3" s="2">
        <f>Normalized_Averages!B3</f>
        <v>0.25396825396825395</v>
      </c>
      <c r="C3" s="3">
        <f t="shared" ref="C3:C5" si="0">MAX(0, MIN(100, 100 * B3 / G3))</f>
        <v>55.210489993098683</v>
      </c>
      <c r="D3" s="3">
        <f t="shared" ref="D3:D5" si="1">MAX(0, MIN(100, 100 * B3 / F3))</f>
        <v>94.062316284538497</v>
      </c>
      <c r="E3" s="3">
        <f t="shared" ref="E3:E5" si="2">MAX(0, MIN(100, 100 * B3 / G3))</f>
        <v>55.210489993098683</v>
      </c>
      <c r="F3" s="7">
        <f>Target_Tiers!B3</f>
        <v>0.27</v>
      </c>
      <c r="G3" s="7">
        <f>Target_Tiers!C3</f>
        <v>0.46</v>
      </c>
    </row>
    <row r="4" spans="1:7" ht="17" x14ac:dyDescent="0.25">
      <c r="A4" t="s">
        <v>34</v>
      </c>
      <c r="B4" s="13">
        <f>Normalized_Averages!B4</f>
        <v>2.1875</v>
      </c>
      <c r="C4" s="3">
        <f>MAX(0, MIN(100, 100 * G4 / B4))</f>
        <v>91.428571428571431</v>
      </c>
      <c r="D4" s="3">
        <f>MAX(0, MIN(100, 100 * F4 / B4))</f>
        <v>98.285714285714292</v>
      </c>
      <c r="E4" s="3">
        <f>MAX(0, MIN(100, 100 * G4 / B4))</f>
        <v>91.428571428571431</v>
      </c>
      <c r="F4" s="12">
        <f>Target_Tiers!B4</f>
        <v>2.15</v>
      </c>
      <c r="G4" s="12">
        <f>Target_Tiers!C4</f>
        <v>2</v>
      </c>
    </row>
    <row r="5" spans="1:7" ht="17" x14ac:dyDescent="0.25">
      <c r="A5" t="s">
        <v>29</v>
      </c>
      <c r="B5" s="2">
        <f>Normalized_Averages!B5</f>
        <v>0.1276595744680851</v>
      </c>
      <c r="C5" s="3">
        <f t="shared" si="0"/>
        <v>33.594624860022392</v>
      </c>
      <c r="D5" s="3">
        <f t="shared" si="1"/>
        <v>51.063829787234042</v>
      </c>
      <c r="E5" s="3">
        <f t="shared" si="2"/>
        <v>33.594624860022392</v>
      </c>
      <c r="F5" s="7">
        <f>Target_Tiers!B5</f>
        <v>0.25</v>
      </c>
      <c r="G5" s="7">
        <f>Target_Tiers!C5</f>
        <v>0.38</v>
      </c>
    </row>
    <row r="6" spans="1:7" ht="17" x14ac:dyDescent="0.25">
      <c r="F6" s="6"/>
    </row>
    <row r="7" spans="1:7" ht="131" customHeight="1" x14ac:dyDescent="0.25">
      <c r="A7" t="s">
        <v>53</v>
      </c>
      <c r="B7" s="10" t="s">
        <v>67</v>
      </c>
      <c r="C7" s="10" t="s">
        <v>78</v>
      </c>
      <c r="D7" s="10" t="s">
        <v>80</v>
      </c>
      <c r="E7" s="10" t="s">
        <v>81</v>
      </c>
      <c r="F7" s="11" t="s">
        <v>68</v>
      </c>
      <c r="G7" s="10" t="s">
        <v>69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F14"/>
  <sheetViews>
    <sheetView workbookViewId="0">
      <selection activeCell="C3" sqref="C3"/>
    </sheetView>
  </sheetViews>
  <sheetFormatPr baseColWidth="10" defaultRowHeight="16" x14ac:dyDescent="0.2"/>
  <cols>
    <col min="1" max="1" width="17.33203125" bestFit="1" customWidth="1"/>
    <col min="2" max="2" width="16.83203125" customWidth="1"/>
    <col min="3" max="3" width="40.6640625" bestFit="1" customWidth="1"/>
    <col min="4" max="4" width="25.83203125" customWidth="1"/>
    <col min="5" max="5" width="18.6640625" customWidth="1"/>
    <col min="6" max="6" width="41.6640625" bestFit="1" customWidth="1"/>
  </cols>
  <sheetData>
    <row r="1" spans="1:6" x14ac:dyDescent="0.2">
      <c r="A1" t="s">
        <v>63</v>
      </c>
      <c r="B1" t="s">
        <v>94</v>
      </c>
      <c r="C1" t="s">
        <v>95</v>
      </c>
      <c r="D1" t="s">
        <v>86</v>
      </c>
      <c r="E1">
        <f>_xlfn.XLOOKUP(Target_Tiers!B1, Tier_Baselines!$B$1:$I$1, Tier_Baselines!$B$6:$I$6)</f>
        <v>14.5</v>
      </c>
      <c r="F1" t="s">
        <v>90</v>
      </c>
    </row>
    <row r="2" spans="1:6" x14ac:dyDescent="0.2">
      <c r="A2" t="s">
        <v>47</v>
      </c>
      <c r="B2" s="3">
        <f xml:space="preserve"> -3.5 * (MAX(0, 100 - Percentiles!C2) / 100)</f>
        <v>-0.27871148459383766</v>
      </c>
      <c r="C2" s="3">
        <f>ABS(B2) * $E$5</f>
        <v>0.45927164046837637</v>
      </c>
      <c r="D2" t="s">
        <v>85</v>
      </c>
      <c r="E2">
        <f>_xlfn.XLOOKUP(Target_Tiers!C1, Tier_Baselines!$B$1:$I$1, Tier_Baselines!$B$6:$I$6)</f>
        <v>5.5</v>
      </c>
      <c r="F2" t="s">
        <v>91</v>
      </c>
    </row>
    <row r="3" spans="1:6" x14ac:dyDescent="0.2">
      <c r="A3" t="s">
        <v>48</v>
      </c>
      <c r="B3" s="3">
        <f xml:space="preserve"> -6 * (MAX(0, 100 - Percentiles!C3) / 100)</f>
        <v>-2.6873706004140789</v>
      </c>
      <c r="C3" s="3">
        <f t="shared" ref="C3:C5" si="0">ABS(B3) * $E$5</f>
        <v>4.4283539517479529</v>
      </c>
      <c r="D3" t="s">
        <v>87</v>
      </c>
      <c r="E3">
        <f>MAX(0, E1 - E2)</f>
        <v>9</v>
      </c>
      <c r="F3" t="s">
        <v>91</v>
      </c>
    </row>
    <row r="4" spans="1:6" x14ac:dyDescent="0.2">
      <c r="A4" t="s">
        <v>49</v>
      </c>
      <c r="B4" s="4">
        <f xml:space="preserve"> -2 * (MAX(0, 100 - Percentiles!C4) / 100)</f>
        <v>-0.17142857142857137</v>
      </c>
      <c r="C4" s="3">
        <f t="shared" si="0"/>
        <v>0.28248667735341321</v>
      </c>
      <c r="D4" t="s">
        <v>88</v>
      </c>
      <c r="E4" s="4" cm="1">
        <f t="array" ref="E4">SUM(ABS($B$2:$B$5))</f>
        <v>5.4616987863357043</v>
      </c>
      <c r="F4" t="s">
        <v>92</v>
      </c>
    </row>
    <row r="5" spans="1:6" x14ac:dyDescent="0.2">
      <c r="A5" t="s">
        <v>50</v>
      </c>
      <c r="B5" s="3">
        <f xml:space="preserve"> -3.5 * (MAX(0, 100 - Percentiles!C5) / 100)</f>
        <v>-2.3241881298992162</v>
      </c>
      <c r="C5" s="3">
        <f t="shared" si="0"/>
        <v>3.8298877304302583</v>
      </c>
      <c r="D5" t="s">
        <v>89</v>
      </c>
      <c r="E5" s="4">
        <f>IF(E4=0, 0, E3 / E4)</f>
        <v>1.6478389512282441</v>
      </c>
      <c r="F5" t="s">
        <v>93</v>
      </c>
    </row>
    <row r="6" spans="1:6" x14ac:dyDescent="0.2">
      <c r="A6" t="s">
        <v>51</v>
      </c>
      <c r="B6" s="4">
        <f>SUM(B2:B5)</f>
        <v>-5.4616987863357043</v>
      </c>
      <c r="C6" s="4">
        <f>SUM(C2:C5)</f>
        <v>9</v>
      </c>
    </row>
    <row r="13" spans="1:6" ht="85" customHeight="1" x14ac:dyDescent="0.2"/>
    <row r="14" spans="1:6" ht="85" customHeight="1" x14ac:dyDescent="0.2">
      <c r="B14" s="10" t="s">
        <v>79</v>
      </c>
      <c r="C14" s="23" t="s">
        <v>82</v>
      </c>
      <c r="D14" s="23"/>
      <c r="E14" s="23"/>
      <c r="F14" s="23"/>
    </row>
  </sheetData>
  <mergeCells count="1">
    <mergeCell ref="C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8"/>
  <sheetViews>
    <sheetView workbookViewId="0">
      <selection activeCell="D8" sqref="D8"/>
    </sheetView>
  </sheetViews>
  <sheetFormatPr baseColWidth="10" defaultRowHeight="16" x14ac:dyDescent="0.2"/>
  <cols>
    <col min="1" max="1" width="18.1640625" bestFit="1" customWidth="1"/>
    <col min="2" max="3" width="14.33203125" customWidth="1"/>
    <col min="4" max="4" width="15.83203125" bestFit="1" customWidth="1"/>
    <col min="5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70</v>
      </c>
      <c r="E1" t="s">
        <v>18</v>
      </c>
      <c r="F1" t="s">
        <v>20</v>
      </c>
      <c r="G1" t="s">
        <v>22</v>
      </c>
      <c r="H1" t="s">
        <v>24</v>
      </c>
      <c r="I1" t="s">
        <v>26</v>
      </c>
    </row>
    <row r="2" spans="1:10" x14ac:dyDescent="0.2">
      <c r="A2" t="s">
        <v>38</v>
      </c>
      <c r="B2" s="5">
        <v>0.4</v>
      </c>
      <c r="C2" s="5">
        <v>0.43</v>
      </c>
      <c r="D2" s="5">
        <v>0.48</v>
      </c>
      <c r="E2" s="5">
        <v>0.49</v>
      </c>
      <c r="F2" s="5">
        <v>0.51</v>
      </c>
      <c r="G2" s="5">
        <v>0.54</v>
      </c>
      <c r="H2" s="5">
        <v>0.56999999999999995</v>
      </c>
      <c r="I2" s="5">
        <v>0.6</v>
      </c>
      <c r="J2" s="5"/>
    </row>
    <row r="3" spans="1:10" x14ac:dyDescent="0.2">
      <c r="A3" t="s">
        <v>27</v>
      </c>
      <c r="B3" s="5">
        <v>0.16</v>
      </c>
      <c r="C3" s="5">
        <v>0.22</v>
      </c>
      <c r="D3" s="5">
        <v>0.27</v>
      </c>
      <c r="E3" s="5">
        <v>0.37</v>
      </c>
      <c r="F3" s="5">
        <v>0.46</v>
      </c>
      <c r="G3" s="5">
        <v>0.51</v>
      </c>
      <c r="H3" s="5">
        <v>0.56999999999999995</v>
      </c>
      <c r="I3" s="5">
        <v>0.62</v>
      </c>
    </row>
    <row r="4" spans="1:10" x14ac:dyDescent="0.2">
      <c r="A4" t="s">
        <v>34</v>
      </c>
      <c r="B4">
        <v>2.35</v>
      </c>
      <c r="C4">
        <v>2.2999999999999998</v>
      </c>
      <c r="D4">
        <v>2.15</v>
      </c>
      <c r="E4">
        <v>2.0499999999999998</v>
      </c>
      <c r="F4">
        <v>2</v>
      </c>
      <c r="G4">
        <v>1.95</v>
      </c>
      <c r="H4">
        <v>1.85</v>
      </c>
      <c r="I4">
        <v>1.83</v>
      </c>
    </row>
    <row r="5" spans="1:10" x14ac:dyDescent="0.2">
      <c r="A5" t="s">
        <v>35</v>
      </c>
      <c r="B5" s="5">
        <v>0.2</v>
      </c>
      <c r="C5" s="5">
        <v>0.22</v>
      </c>
      <c r="D5" s="5">
        <v>0.25</v>
      </c>
      <c r="E5" s="5">
        <v>0.32</v>
      </c>
      <c r="F5" s="5">
        <v>0.38</v>
      </c>
      <c r="G5" s="5">
        <v>0.44</v>
      </c>
      <c r="H5" s="5">
        <v>0.5</v>
      </c>
      <c r="I5" s="5">
        <v>0.53</v>
      </c>
    </row>
    <row r="6" spans="1:10" x14ac:dyDescent="0.2">
      <c r="A6" t="s">
        <v>84</v>
      </c>
      <c r="B6" s="4">
        <v>27</v>
      </c>
      <c r="C6" s="4">
        <v>21</v>
      </c>
      <c r="D6" s="4">
        <v>14.5</v>
      </c>
      <c r="E6" s="4">
        <v>9</v>
      </c>
      <c r="F6" s="4">
        <v>5.5</v>
      </c>
      <c r="G6" s="4">
        <v>3.5</v>
      </c>
      <c r="H6" s="4">
        <v>1</v>
      </c>
      <c r="I6" s="4">
        <v>-1</v>
      </c>
    </row>
    <row r="7" spans="1:10" x14ac:dyDescent="0.2">
      <c r="A7" t="s">
        <v>149</v>
      </c>
    </row>
    <row r="8" spans="1:10" ht="212" customHeight="1" x14ac:dyDescent="0.2">
      <c r="A8" s="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9"/>
  <sheetViews>
    <sheetView workbookViewId="0">
      <selection activeCell="C1" sqref="C1"/>
    </sheetView>
  </sheetViews>
  <sheetFormatPr baseColWidth="10" defaultRowHeight="16" x14ac:dyDescent="0.2"/>
  <cols>
    <col min="1" max="1" width="21.1640625" bestFit="1" customWidth="1"/>
    <col min="2" max="2" width="17.6640625" customWidth="1"/>
    <col min="3" max="3" width="20" customWidth="1"/>
  </cols>
  <sheetData>
    <row r="1" spans="1:3" x14ac:dyDescent="0.2">
      <c r="A1" t="s">
        <v>148</v>
      </c>
      <c r="B1" t="str">
        <f>Target_Tiers!B9</f>
        <v>Mid 80s Golfer</v>
      </c>
      <c r="C1" t="s">
        <v>20</v>
      </c>
    </row>
    <row r="2" spans="1:3" x14ac:dyDescent="0.2">
      <c r="A2" t="s">
        <v>32</v>
      </c>
      <c r="B2" s="2" cm="1">
        <f t="array" ref="B2">INDEX(Tier_Baselines!$B$2:$I$5, ROW(A1), MATCH($B$1, Tier_Baselines!$B$1:$I$1, 0))</f>
        <v>0.48</v>
      </c>
      <c r="C2" s="2" cm="1">
        <f t="array" ref="C2">INDEX(Tier_Baselines!$B$2:$I$5, ROW(A1), MATCH($C$1, Tier_Baselines!$B$1:$I$1, 0))</f>
        <v>0.51</v>
      </c>
    </row>
    <row r="3" spans="1:3" x14ac:dyDescent="0.2">
      <c r="A3" t="s">
        <v>33</v>
      </c>
      <c r="B3" s="2" cm="1">
        <f t="array" ref="B3">INDEX(Tier_Baselines!$B$2:$I$5, ROW(A2), MATCH($B$1, Tier_Baselines!$B$1:$I$1, 0))</f>
        <v>0.27</v>
      </c>
      <c r="C3" s="2" cm="1">
        <f t="array" ref="C3">INDEX(Tier_Baselines!$B$2:$I$5, ROW(A2), MATCH($C$1, Tier_Baselines!$B$1:$I$1, 0))</f>
        <v>0.46</v>
      </c>
    </row>
    <row r="4" spans="1:3" x14ac:dyDescent="0.2">
      <c r="A4" t="s">
        <v>34</v>
      </c>
      <c r="B4" cm="1">
        <f t="array" ref="B4">INDEX(Tier_Baselines!$B$2:$I$5, ROW(A3), MATCH($B$1, Tier_Baselines!$B$1:$I$1, 0))</f>
        <v>2.15</v>
      </c>
      <c r="C4" cm="1">
        <f t="array" ref="C4">INDEX(Tier_Baselines!$B$2:$I$5, ROW(A3), MATCH($C$1, Tier_Baselines!$B$1:$I$1, 0))</f>
        <v>2</v>
      </c>
    </row>
    <row r="5" spans="1:3" x14ac:dyDescent="0.2">
      <c r="A5" t="s">
        <v>35</v>
      </c>
      <c r="B5" s="2" cm="1">
        <f t="array" ref="B5">INDEX(Tier_Baselines!$B$2:$I$5, ROW(A4), MATCH($B$1, Tier_Baselines!$B$1:$I$1, 0))</f>
        <v>0.25</v>
      </c>
      <c r="C5" s="2" cm="1">
        <f t="array" ref="C5">INDEX(Tier_Baselines!$B$2:$I$5, ROW(A4), MATCH($C$1, Tier_Baselines!$B$1:$I$1, 0))</f>
        <v>0.38</v>
      </c>
    </row>
    <row r="7" spans="1:3" x14ac:dyDescent="0.2">
      <c r="A7" t="s">
        <v>122</v>
      </c>
      <c r="B7" s="2" t="str">
        <f>_xlfn.LET(_xlpm.h, Normalized_Averages!$B$12,
IF(_xlpm.h="","",
IF(_xlpm.h&lt;0,"Plus Handicap",
IF(_xlpm.h&lt;=2,"Scratch",
IF(_xlpm.h&lt;=4,"Low Handicap",
IF(_xlpm.h&lt;=6,"Single Digit",
IF(_xlpm.h&lt;=11,"High Single Digit",
IF(_xlpm.h&lt;=17,"Mid 80s Golfer",
IF(_xlpm.h&lt;=24,"90s Golfer",
"100+ Golfer"))))))))
)</f>
        <v>Mid 80s Golfer</v>
      </c>
    </row>
    <row r="8" spans="1:3" x14ac:dyDescent="0.2">
      <c r="A8" t="s">
        <v>121</v>
      </c>
    </row>
    <row r="9" spans="1:3" x14ac:dyDescent="0.2">
      <c r="A9" t="s">
        <v>123</v>
      </c>
      <c r="B9" t="str">
        <f>IF(Target_Tiers!B8&lt;&gt;"",Target_Tiers!B8,Target_Tiers!B7)</f>
        <v>Mid 80s Golfer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 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464-B4FC-4945-9C8F-FB95FA71B1E9}">
  <dimension ref="A1:L31"/>
  <sheetViews>
    <sheetView tabSelected="1" workbookViewId="0">
      <selection activeCell="H39" sqref="H39"/>
    </sheetView>
  </sheetViews>
  <sheetFormatPr baseColWidth="10" defaultRowHeight="16" x14ac:dyDescent="0.2"/>
  <cols>
    <col min="1" max="1" width="52.83203125" bestFit="1" customWidth="1"/>
    <col min="2" max="2" width="24.33203125" customWidth="1"/>
    <col min="3" max="3" width="17.6640625" bestFit="1" customWidth="1"/>
    <col min="4" max="4" width="27.6640625" customWidth="1"/>
    <col min="5" max="5" width="17" customWidth="1"/>
    <col min="8" max="9" width="18.83203125" bestFit="1" customWidth="1"/>
    <col min="11" max="11" width="15.33203125" bestFit="1" customWidth="1"/>
    <col min="12" max="12" width="16.83203125" customWidth="1"/>
  </cols>
  <sheetData>
    <row r="1" spans="1:12" x14ac:dyDescent="0.2">
      <c r="A1" t="s">
        <v>101</v>
      </c>
      <c r="I1" t="s">
        <v>138</v>
      </c>
      <c r="K1" t="s">
        <v>147</v>
      </c>
    </row>
    <row r="2" spans="1:12" ht="40" customHeight="1" x14ac:dyDescent="0.2">
      <c r="A2" t="s">
        <v>71</v>
      </c>
      <c r="B2" t="str">
        <f>Target_Tiers!B1</f>
        <v>Mid 80s Golfer</v>
      </c>
      <c r="D2" t="s">
        <v>102</v>
      </c>
      <c r="E2" s="16">
        <f>ABS(Strokes_Gained!C6)</f>
        <v>9</v>
      </c>
      <c r="F2" t="s">
        <v>76</v>
      </c>
      <c r="H2" t="s">
        <v>139</v>
      </c>
      <c r="K2" t="s">
        <v>141</v>
      </c>
      <c r="L2" s="4" cm="1">
        <f t="array" ref="L2">Normalized_Averages!B12 - INDEX(Progress_Log!C:C, COUNTA(Progress_Log!C:C))</f>
        <v>-2.9969789927977697</v>
      </c>
    </row>
    <row r="3" spans="1:12" ht="40" customHeight="1" x14ac:dyDescent="0.25">
      <c r="A3" t="s">
        <v>72</v>
      </c>
      <c r="B3" s="6" t="str">
        <f>Target_Tiers!C1</f>
        <v>Single Digit</v>
      </c>
      <c r="H3" t="s">
        <v>140</v>
      </c>
      <c r="K3" t="s">
        <v>142</v>
      </c>
      <c r="L3" s="4" cm="1">
        <f t="array" ref="L3">Strokes_Gained!C6 - INDEX(Progress_Log!L:L, COUNTA(Progress_Log!L:L))</f>
        <v>0</v>
      </c>
    </row>
    <row r="4" spans="1:12" ht="17" x14ac:dyDescent="0.25">
      <c r="B4" s="6"/>
      <c r="K4" t="s">
        <v>143</v>
      </c>
      <c r="L4" s="2" cm="1">
        <f t="array" ref="L4">Normalized_Averages!B2 - INDEX(Progress_Log!D:D, COUNTA(Progress_Log!D:D))</f>
        <v>-1.9623233908948157E-2</v>
      </c>
    </row>
    <row r="5" spans="1:12" x14ac:dyDescent="0.2">
      <c r="K5" t="s">
        <v>144</v>
      </c>
      <c r="L5" s="2" cm="1">
        <f t="array" ref="L5">Normalized_Averages!B3 - INDEX(Progress_Log!E:E, COUNTA(Progress_Log!E:E))</f>
        <v>-1.5262515262515264E-2</v>
      </c>
    </row>
    <row r="6" spans="1:12" x14ac:dyDescent="0.2">
      <c r="A6" t="s">
        <v>36</v>
      </c>
      <c r="B6" t="s">
        <v>73</v>
      </c>
      <c r="C6" t="s">
        <v>74</v>
      </c>
      <c r="D6" t="s">
        <v>103</v>
      </c>
      <c r="E6" t="s">
        <v>104</v>
      </c>
      <c r="K6" t="s">
        <v>145</v>
      </c>
      <c r="L6" s="13" cm="1">
        <f t="array" ref="L6">Normalized_Averages!B4 - INDEX(Progress_Log!F:F, COUNTA(Progress_Log!F:F))</f>
        <v>-2.9761904761906877E-3</v>
      </c>
    </row>
    <row r="7" spans="1:12" x14ac:dyDescent="0.2">
      <c r="A7" t="s">
        <v>6</v>
      </c>
      <c r="B7" s="2">
        <f>Percentiles!B2</f>
        <v>0.46938775510204084</v>
      </c>
      <c r="C7" s="2">
        <f>Percentiles!G2</f>
        <v>0.51</v>
      </c>
      <c r="D7" s="15">
        <f>C7-B7</f>
        <v>4.0612244897959171E-2</v>
      </c>
      <c r="E7" s="17">
        <f>Percentiles!C2</f>
        <v>92.036814725890352</v>
      </c>
      <c r="F7" s="10"/>
      <c r="K7" t="s">
        <v>146</v>
      </c>
      <c r="L7" s="2" cm="1">
        <f t="array" ref="L7">Normalized_Averages!B5 - INDEX(Progress_Log!G:G, COUNTA(Progress_Log!G:G))</f>
        <v>-6.532288167226577E-2</v>
      </c>
    </row>
    <row r="8" spans="1:12" x14ac:dyDescent="0.2">
      <c r="A8" t="s">
        <v>28</v>
      </c>
      <c r="B8" s="2">
        <f>Percentiles!B3</f>
        <v>0.25396825396825395</v>
      </c>
      <c r="C8" s="2">
        <f>Percentiles!G3</f>
        <v>0.46</v>
      </c>
      <c r="D8" s="15">
        <f>C8-B8</f>
        <v>0.20603174603174607</v>
      </c>
      <c r="E8" s="17">
        <f>Percentiles!C3</f>
        <v>55.210489993098683</v>
      </c>
      <c r="F8" s="10"/>
    </row>
    <row r="9" spans="1:12" x14ac:dyDescent="0.2">
      <c r="A9" t="s">
        <v>34</v>
      </c>
      <c r="B9" s="13">
        <f>Percentiles!B4</f>
        <v>2.1875</v>
      </c>
      <c r="C9" s="14">
        <f>Percentiles!G4</f>
        <v>2</v>
      </c>
      <c r="D9" s="4">
        <f>B9-C9</f>
        <v>0.1875</v>
      </c>
      <c r="E9" s="17">
        <f>Percentiles!C4</f>
        <v>91.428571428571431</v>
      </c>
      <c r="F9" s="10"/>
    </row>
    <row r="10" spans="1:12" x14ac:dyDescent="0.2">
      <c r="A10" t="s">
        <v>29</v>
      </c>
      <c r="B10" s="2">
        <f>Percentiles!B5</f>
        <v>0.1276595744680851</v>
      </c>
      <c r="C10" s="2">
        <f>Percentiles!G5</f>
        <v>0.38</v>
      </c>
      <c r="D10" s="2">
        <f>C10-B10</f>
        <v>0.25234042553191494</v>
      </c>
      <c r="E10" s="17">
        <f>Percentiles!C5</f>
        <v>33.594624860022392</v>
      </c>
      <c r="F10" s="10"/>
    </row>
    <row r="13" spans="1:12" x14ac:dyDescent="0.2">
      <c r="A13" t="s">
        <v>63</v>
      </c>
      <c r="B13" t="s">
        <v>75</v>
      </c>
      <c r="C13" t="s">
        <v>105</v>
      </c>
      <c r="D13" t="s">
        <v>106</v>
      </c>
    </row>
    <row r="14" spans="1:12" x14ac:dyDescent="0.2">
      <c r="A14" t="s">
        <v>47</v>
      </c>
      <c r="B14" s="4">
        <f>Strokes_Gained!C2</f>
        <v>0.45927164046837637</v>
      </c>
      <c r="C14" s="2">
        <f>IFERROR(B14/SUM($B$14:$B$17), "-")</f>
        <v>5.1030182274264042E-2</v>
      </c>
      <c r="D14" s="4">
        <f>Percentiles!D2</f>
        <v>97.789115646258509</v>
      </c>
    </row>
    <row r="15" spans="1:12" x14ac:dyDescent="0.2">
      <c r="A15" t="s">
        <v>48</v>
      </c>
      <c r="B15" s="4">
        <f>Strokes_Gained!C3</f>
        <v>4.4283539517479529</v>
      </c>
      <c r="C15" s="2">
        <f t="shared" ref="C15:C17" si="0">IFERROR(B15/SUM($B$14:$B$17), "-")</f>
        <v>0.49203932797199479</v>
      </c>
      <c r="D15" s="4">
        <f>Percentiles!D3</f>
        <v>94.062316284538497</v>
      </c>
    </row>
    <row r="16" spans="1:12" x14ac:dyDescent="0.2">
      <c r="A16" t="s">
        <v>49</v>
      </c>
      <c r="B16" s="4">
        <f>Strokes_Gained!C4</f>
        <v>0.28248667735341321</v>
      </c>
      <c r="C16" s="2">
        <f t="shared" si="0"/>
        <v>3.1387408594823689E-2</v>
      </c>
      <c r="D16" s="4">
        <f>Percentiles!D4</f>
        <v>98.285714285714292</v>
      </c>
    </row>
    <row r="17" spans="1:6" x14ac:dyDescent="0.2">
      <c r="A17" t="s">
        <v>50</v>
      </c>
      <c r="B17" s="4">
        <f>Strokes_Gained!C5</f>
        <v>3.8298877304302583</v>
      </c>
      <c r="C17" s="2">
        <f t="shared" si="0"/>
        <v>0.42554308115891759</v>
      </c>
      <c r="D17" s="4">
        <f>Percentiles!D5</f>
        <v>51.063829787234042</v>
      </c>
    </row>
    <row r="20" spans="1:6" x14ac:dyDescent="0.2">
      <c r="A20" t="s">
        <v>107</v>
      </c>
      <c r="B20" t="s">
        <v>108</v>
      </c>
      <c r="C20" t="s">
        <v>109</v>
      </c>
      <c r="D20" t="s">
        <v>63</v>
      </c>
      <c r="E20" t="s">
        <v>76</v>
      </c>
      <c r="F20" t="s">
        <v>77</v>
      </c>
    </row>
    <row r="21" spans="1:6" x14ac:dyDescent="0.2">
      <c r="A21" t="s">
        <v>96</v>
      </c>
      <c r="B21" s="4">
        <f>Strokes_Gained!B2</f>
        <v>-0.27871148459383766</v>
      </c>
      <c r="C21" s="13">
        <f>IF(Percentiles!G2&lt;=Percentiles!B2,0, Strokes_Gained!C2 / ((Percentiles!G2-Percentiles!B2)*100))</f>
        <v>0.11308698684899723</v>
      </c>
      <c r="E21" s="4">
        <f>B21</f>
        <v>-0.27871148459383766</v>
      </c>
      <c r="F21">
        <f>RANK(E21,$E$21:$E$24,1)</f>
        <v>3</v>
      </c>
    </row>
    <row r="22" spans="1:6" x14ac:dyDescent="0.2">
      <c r="A22" t="s">
        <v>97</v>
      </c>
      <c r="B22" s="4">
        <f>Strokes_Gained!B3</f>
        <v>-2.6873706004140789</v>
      </c>
      <c r="C22" s="13">
        <f>IF(Percentiles!G3&lt;=Percentiles!B3,0, Strokes_Gained!C3 / ((Percentiles!G3-Percentiles!B3)*100))</f>
        <v>0.21493551537759706</v>
      </c>
      <c r="E22" s="4">
        <f t="shared" ref="E22:E24" si="1">B22</f>
        <v>-2.6873706004140789</v>
      </c>
      <c r="F22">
        <f t="shared" ref="F22:F24" si="2">RANK(E22,$E$21:$E$24,1)</f>
        <v>1</v>
      </c>
    </row>
    <row r="23" spans="1:6" x14ac:dyDescent="0.2">
      <c r="A23" t="s">
        <v>98</v>
      </c>
      <c r="B23" s="4">
        <f>Strokes_Gained!B4</f>
        <v>-0.17142857142857137</v>
      </c>
      <c r="C23" s="13">
        <f>IF(Percentiles!B4&lt;=Percentiles!G4,0, Strokes_Gained!C4 / ((Percentiles!B4-Percentiles!G4)/0.1))</f>
        <v>0.1506595612551537</v>
      </c>
      <c r="E23" s="4">
        <f t="shared" si="1"/>
        <v>-0.17142857142857137</v>
      </c>
      <c r="F23">
        <f t="shared" si="2"/>
        <v>4</v>
      </c>
    </row>
    <row r="24" spans="1:6" x14ac:dyDescent="0.2">
      <c r="A24" t="s">
        <v>99</v>
      </c>
      <c r="B24" s="4">
        <f>Strokes_Gained!B5</f>
        <v>-2.3241881298992162</v>
      </c>
      <c r="C24" s="13">
        <f>IF(Percentiles!G5&lt;=Percentiles!B5,0, Strokes_Gained!C5 / ((Percentiles!G5-Percentiles!B5)*100))</f>
        <v>0.15177464024470666</v>
      </c>
      <c r="E24" s="4">
        <f t="shared" si="1"/>
        <v>-2.3241881298992162</v>
      </c>
      <c r="F24">
        <f t="shared" si="2"/>
        <v>2</v>
      </c>
    </row>
    <row r="25" spans="1:6" x14ac:dyDescent="0.2">
      <c r="A25" t="s">
        <v>51</v>
      </c>
      <c r="B25" s="4">
        <f>Strokes_Gained!B6</f>
        <v>-5.4616987863357043</v>
      </c>
    </row>
    <row r="28" spans="1:6" x14ac:dyDescent="0.2">
      <c r="B28" s="13"/>
      <c r="C28" s="22" t="s">
        <v>100</v>
      </c>
      <c r="D28" s="22"/>
    </row>
    <row r="29" spans="1:6" x14ac:dyDescent="0.2">
      <c r="B29" s="13"/>
      <c r="C29" s="22"/>
      <c r="D29" s="22"/>
    </row>
    <row r="30" spans="1:6" x14ac:dyDescent="0.2">
      <c r="B30" s="13"/>
      <c r="C30" s="22"/>
      <c r="D30" s="22"/>
    </row>
    <row r="31" spans="1:6" ht="65" customHeight="1" x14ac:dyDescent="0.2">
      <c r="B31" s="13"/>
      <c r="C31" s="22"/>
      <c r="D31" s="22"/>
    </row>
  </sheetData>
  <mergeCells count="1">
    <mergeCell ref="C28:D31"/>
  </mergeCells>
  <conditionalFormatting sqref="B14:B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{273C2F2D-54CD-0645-89DF-9AF1FD01AD9F}</x14:id>
        </ext>
      </extLst>
    </cfRule>
  </conditionalFormatting>
  <conditionalFormatting sqref="E7:E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{72FC77F3-610A-9442-994E-7F29552015D1}</x14:id>
        </ext>
      </extLst>
    </cfRule>
  </conditionalFormatting>
  <conditionalFormatting sqref="L2:L3 L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L4:L5 L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D9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C2F2D-54CD-0645-89DF-9AF1FD01A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>
          <x14:cfRule type="dataBar" id="{72FC77F3-610A-9442-994E-7F295520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34CEE0E-01CD-504F-B1A5-AD518EC1142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Progress_Log!L3:L195</xm:f>
              <xm:sqref>I3</xm:sqref>
            </x14:sparkline>
          </x14:sparklines>
        </x14:sparklineGroup>
        <x14:sparklineGroup lineWeight="3" displayEmptyCellsAs="gap" high="1" low="1" xr2:uid="{C936B780-B90A-554D-B905-0EA4C8ADEC1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Progress_Log!C3:C195</xm:f>
              <xm:sqref>I2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B9"/>
  <sheetViews>
    <sheetView workbookViewId="0">
      <selection activeCell="A5" sqref="A5"/>
    </sheetView>
  </sheetViews>
  <sheetFormatPr baseColWidth="10" defaultRowHeight="16" x14ac:dyDescent="0.2"/>
  <cols>
    <col min="1" max="2" width="20.1640625" customWidth="1"/>
  </cols>
  <sheetData>
    <row r="1" spans="1:2" x14ac:dyDescent="0.2">
      <c r="A1" s="1" t="s">
        <v>11</v>
      </c>
      <c r="B1" s="1" t="s">
        <v>9</v>
      </c>
    </row>
    <row r="2" spans="1:2" x14ac:dyDescent="0.2">
      <c r="A2" t="s">
        <v>12</v>
      </c>
      <c r="B2" s="1" t="s">
        <v>13</v>
      </c>
    </row>
    <row r="3" spans="1:2" x14ac:dyDescent="0.2">
      <c r="A3" t="s">
        <v>14</v>
      </c>
      <c r="B3" s="1" t="s">
        <v>15</v>
      </c>
    </row>
    <row r="4" spans="1:2" x14ac:dyDescent="0.2">
      <c r="A4" t="s">
        <v>16</v>
      </c>
      <c r="B4" s="1" t="s">
        <v>70</v>
      </c>
    </row>
    <row r="5" spans="1:2" x14ac:dyDescent="0.2">
      <c r="A5" t="s">
        <v>17</v>
      </c>
      <c r="B5" s="1" t="s">
        <v>18</v>
      </c>
    </row>
    <row r="6" spans="1:2" x14ac:dyDescent="0.2">
      <c r="A6" t="s">
        <v>19</v>
      </c>
      <c r="B6" s="1" t="s">
        <v>20</v>
      </c>
    </row>
    <row r="7" spans="1:2" x14ac:dyDescent="0.2">
      <c r="A7" t="s">
        <v>21</v>
      </c>
      <c r="B7" s="1" t="s">
        <v>22</v>
      </c>
    </row>
    <row r="8" spans="1:2" x14ac:dyDescent="0.2">
      <c r="A8" t="s">
        <v>23</v>
      </c>
      <c r="B8" s="1" t="s">
        <v>24</v>
      </c>
    </row>
    <row r="9" spans="1:2" x14ac:dyDescent="0.2">
      <c r="A9" t="s">
        <v>25</v>
      </c>
      <c r="B9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B82-20C8-C843-8C9C-E9F00DE6177A}">
  <dimension ref="A1:P26"/>
  <sheetViews>
    <sheetView workbookViewId="0">
      <selection activeCell="A5" sqref="A5:XFD5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style="4" customWidth="1"/>
    <col min="4" max="4" width="7.6640625" style="2" customWidth="1"/>
    <col min="5" max="5" width="8" style="2" customWidth="1"/>
    <col min="6" max="6" width="11.6640625" customWidth="1"/>
    <col min="7" max="7" width="12.83203125" style="2" customWidth="1"/>
    <col min="8" max="8" width="14" style="17" customWidth="1"/>
    <col min="9" max="9" width="14.33203125" style="17" customWidth="1"/>
    <col min="10" max="10" width="15.83203125" style="17" customWidth="1"/>
    <col min="11" max="11" width="19.1640625" style="17" customWidth="1"/>
    <col min="12" max="12" width="21" style="4" customWidth="1"/>
    <col min="13" max="13" width="16.5" style="4" customWidth="1"/>
    <col min="14" max="14" width="18.5" style="4" customWidth="1"/>
    <col min="15" max="15" width="16.6640625" style="4" customWidth="1"/>
    <col min="16" max="16" width="20" style="4" customWidth="1"/>
  </cols>
  <sheetData>
    <row r="1" spans="1:16" x14ac:dyDescent="0.2">
      <c r="A1" s="1" t="s">
        <v>124</v>
      </c>
      <c r="B1" s="1" t="s">
        <v>43</v>
      </c>
      <c r="C1" s="19" t="s">
        <v>125</v>
      </c>
      <c r="D1" s="20" t="s">
        <v>126</v>
      </c>
      <c r="E1" s="20" t="s">
        <v>27</v>
      </c>
      <c r="F1" s="1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19" t="s">
        <v>133</v>
      </c>
      <c r="M1" s="19" t="s">
        <v>134</v>
      </c>
      <c r="N1" s="19" t="s">
        <v>135</v>
      </c>
      <c r="O1" s="19" t="s">
        <v>136</v>
      </c>
      <c r="P1" s="19" t="s">
        <v>137</v>
      </c>
    </row>
    <row r="2" spans="1:16" x14ac:dyDescent="0.2">
      <c r="A2" s="18">
        <f t="shared" ref="A2" ca="1" si="0">TODAY()</f>
        <v>46084</v>
      </c>
      <c r="B2">
        <f>Normalized_Averages!B10</f>
        <v>7</v>
      </c>
      <c r="C2" s="4">
        <f>Normalized_Averages!B12</f>
        <v>12.204935190110961</v>
      </c>
      <c r="D2" s="2">
        <f>Normalized_Averages!B2</f>
        <v>0.46938775510204084</v>
      </c>
      <c r="E2" s="2">
        <f>Normalized_Averages!B3</f>
        <v>0.25396825396825395</v>
      </c>
      <c r="F2" s="13">
        <f>Normalized_Averages!B4</f>
        <v>2.1875</v>
      </c>
      <c r="G2" s="2">
        <f>Normalized_Averages!B5</f>
        <v>0.1276595744680851</v>
      </c>
      <c r="H2" s="17">
        <f>Percentiles!C2</f>
        <v>92.036814725890352</v>
      </c>
      <c r="I2" s="17">
        <f>Percentiles!C3</f>
        <v>55.210489993098683</v>
      </c>
      <c r="J2" s="17">
        <f>Percentiles!C4</f>
        <v>91.428571428571431</v>
      </c>
      <c r="K2" s="17">
        <f>Percentiles!C5</f>
        <v>33.594624860022392</v>
      </c>
      <c r="L2" s="4">
        <f>Strokes_Gained!C6</f>
        <v>9</v>
      </c>
      <c r="M2" s="4">
        <f>Strokes_Gained!C2</f>
        <v>0.45927164046837637</v>
      </c>
      <c r="N2" s="4">
        <f>Strokes_Gained!C3</f>
        <v>4.4283539517479529</v>
      </c>
      <c r="O2" s="4">
        <f>Strokes_Gained!C4</f>
        <v>0.28248667735341321</v>
      </c>
      <c r="P2" s="4">
        <f>Strokes_Gained!C5</f>
        <v>3.8298877304302583</v>
      </c>
    </row>
    <row r="3" spans="1:16" x14ac:dyDescent="0.2">
      <c r="A3">
        <v>46053</v>
      </c>
      <c r="B3">
        <v>7</v>
      </c>
      <c r="C3" s="4">
        <v>20.169658070121834</v>
      </c>
      <c r="D3" s="2">
        <v>0.40816326530612246</v>
      </c>
      <c r="E3" s="2">
        <v>0.1984126984126984</v>
      </c>
      <c r="F3">
        <v>2.48</v>
      </c>
      <c r="G3" s="2">
        <v>0.11881188118811881</v>
      </c>
      <c r="H3" s="17">
        <v>74.211502782931348</v>
      </c>
      <c r="I3" s="17">
        <v>47.241118669690103</v>
      </c>
      <c r="J3" s="17">
        <v>80.645161290322577</v>
      </c>
      <c r="K3" s="17">
        <v>28.288543140028288</v>
      </c>
      <c r="L3" s="4">
        <v>15.5</v>
      </c>
      <c r="M3" s="4">
        <v>2.0086148662939496</v>
      </c>
      <c r="N3" s="4">
        <v>7.0444878124494412</v>
      </c>
      <c r="O3" s="4">
        <v>0.86143427080789492</v>
      </c>
      <c r="P3" s="4">
        <v>5.5854630504487144</v>
      </c>
    </row>
    <row r="4" spans="1:16" x14ac:dyDescent="0.2">
      <c r="A4" s="18">
        <v>46053</v>
      </c>
      <c r="B4">
        <v>10</v>
      </c>
      <c r="C4" s="4">
        <v>18.487610545568636</v>
      </c>
      <c r="D4" s="2">
        <v>0.44285714285714284</v>
      </c>
      <c r="E4" s="2">
        <v>0.22777777777777777</v>
      </c>
      <c r="F4" s="13">
        <v>2.3170731707317072</v>
      </c>
      <c r="G4" s="2">
        <v>0.15107913669064749</v>
      </c>
      <c r="H4" s="17">
        <v>80.51948051948051</v>
      </c>
      <c r="I4" s="17">
        <v>54.232804232804234</v>
      </c>
      <c r="J4" s="17">
        <v>86.31578947368422</v>
      </c>
      <c r="K4" s="17">
        <v>35.971223021582738</v>
      </c>
      <c r="L4" s="4">
        <v>15.5</v>
      </c>
      <c r="M4" s="4">
        <v>1.7783943310867847</v>
      </c>
      <c r="N4" s="4">
        <v>7.1625066921865601</v>
      </c>
      <c r="O4" s="4">
        <v>0.71385372447834361</v>
      </c>
      <c r="P4" s="4">
        <v>5.8452452522483114</v>
      </c>
    </row>
    <row r="5" spans="1:16" x14ac:dyDescent="0.2">
      <c r="A5">
        <v>46053</v>
      </c>
      <c r="B5">
        <v>13</v>
      </c>
      <c r="C5" s="4">
        <v>15.20191418290873</v>
      </c>
      <c r="D5" s="2">
        <v>0.48901098901098899</v>
      </c>
      <c r="E5" s="2">
        <v>0.26923076923076922</v>
      </c>
      <c r="F5">
        <v>2.1904761904761907</v>
      </c>
      <c r="G5" s="2">
        <v>0.19298245614035087</v>
      </c>
      <c r="H5" s="17">
        <v>88.911088911088896</v>
      </c>
      <c r="I5" s="17">
        <v>64.102564102564102</v>
      </c>
      <c r="J5" s="17">
        <v>91.304347826086953</v>
      </c>
      <c r="K5" s="17">
        <v>45.948203842940678</v>
      </c>
      <c r="L5" s="4">
        <v>9</v>
      </c>
      <c r="M5" s="4">
        <v>0.75808302613711565</v>
      </c>
      <c r="N5" s="4">
        <v>4.2070193162203839</v>
      </c>
      <c r="O5" s="4">
        <v>0.33969721186872676</v>
      </c>
      <c r="P5" s="4">
        <v>3.6952004457737728</v>
      </c>
    </row>
    <row r="6" spans="1:16" x14ac:dyDescent="0.2">
      <c r="A6" s="1"/>
    </row>
    <row r="8" spans="1:16" x14ac:dyDescent="0.2">
      <c r="A8" s="1"/>
    </row>
    <row r="10" spans="1:16" x14ac:dyDescent="0.2">
      <c r="A10" s="1"/>
    </row>
    <row r="12" spans="1:16" x14ac:dyDescent="0.2">
      <c r="A12" s="1"/>
    </row>
    <row r="14" spans="1:16" x14ac:dyDescent="0.2">
      <c r="A14" s="1"/>
    </row>
    <row r="16" spans="1:16" x14ac:dyDescent="0.2">
      <c r="A16" s="1"/>
    </row>
    <row r="18" spans="1:1" x14ac:dyDescent="0.2">
      <c r="A18" s="1"/>
    </row>
    <row r="20" spans="1:1" x14ac:dyDescent="0.2">
      <c r="A20" s="1"/>
    </row>
    <row r="22" spans="1:1" x14ac:dyDescent="0.2">
      <c r="A22" s="1"/>
    </row>
    <row r="24" spans="1:1" x14ac:dyDescent="0.2">
      <c r="A24" s="1"/>
    </row>
    <row r="26" spans="1:1" x14ac:dyDescent="0.2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Report</vt:lpstr>
      <vt:lpstr>Identity Tower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2026-03-03T19:29:43Z</dcterms:modified>
</cp:coreProperties>
</file>